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All ASGs" sheetId="3" state="visible" r:id="rId3"/>
    <sheet xmlns:r="http://schemas.openxmlformats.org/officeDocument/2006/relationships" name="Spike Check" sheetId="4" state="visible" r:id="rId4"/>
  </sheets>
  <definedNames>
    <definedName name="_xlnm._FilterDatabase" localSheetId="1" hidden="1">'Review'!$A$1:$J$30</definedName>
    <definedName name="_xlnm._FilterDatabase" localSheetId="2" hidden="1">'All ASGs'!$A$1:$I$30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;&quot;($&quot;#,##0\);\-"/>
    <numFmt numFmtId="165" formatCode="\$#,##0"/>
    <numFmt numFmtId="166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2" min="1" max="1"/>
    <col width="8" customWidth="1" style="22" min="2" max="2"/>
    <col width="10" customWidth="1" style="22" min="3" max="3"/>
    <col width="14" customWidth="1" style="22" min="4" max="4"/>
    <col width="15" customWidth="1" style="22" min="5" max="5"/>
    <col width="16" customWidth="1" style="22" min="6" max="6"/>
    <col width="18" customWidth="1" style="22" min="7" max="8"/>
  </cols>
  <sheetData>
    <row r="1" ht="17.25" customHeight="1" s="23">
      <c r="A1" s="24" t="inlineStr">
        <is>
          <t>EC2 Rightsizing Decisions, Oct 19, 2026</t>
        </is>
      </c>
    </row>
    <row r="2" ht="15" customHeight="1" s="23">
      <c r="A2" s="25" t="inlineStr">
        <is>
          <t>29 Windows ASGs flagged by FinOps across dev, test and prod; all are r6i.xlarge today. 'Approve' is a recommendation; nothing has been changed in AWS.</t>
        </is>
      </c>
    </row>
    <row r="4" ht="26.25" customHeight="1" s="23">
      <c r="A4" s="26" t="inlineStr">
        <is>
          <t>Environment</t>
        </is>
      </c>
      <c r="B4" s="26" t="inlineStr">
        <is>
          <t>ASGs</t>
        </is>
      </c>
      <c r="C4" s="26" t="inlineStr">
        <is>
          <t>Approve</t>
        </is>
      </c>
      <c r="D4" s="26" t="inlineStr">
        <is>
          <t>Team decision</t>
        </is>
      </c>
      <c r="E4" s="26" t="inlineStr">
        <is>
          <t>Keep r6i.xlarge</t>
        </is>
      </c>
      <c r="F4" s="26" t="inlineStr">
        <is>
          <t>FinOps claimed ($/mo)</t>
        </is>
      </c>
      <c r="G4" s="26" t="inlineStr">
        <is>
          <t>Savings if approved ($/mo)</t>
        </is>
      </c>
      <c r="H4" s="26" t="inlineStr">
        <is>
          <t>More if team agrees ($/mo)</t>
        </is>
      </c>
    </row>
    <row r="5" ht="15" customHeight="1" s="23">
      <c r="A5" s="27" t="inlineStr">
        <is>
          <t>Dev</t>
        </is>
      </c>
      <c r="B5" s="27">
        <f>COUNTIFS('All ASGs'!$A:$A,$A5)</f>
        <v/>
      </c>
      <c r="C5" s="27">
        <f>COUNTIFS('All ASGs'!$A:$A,$A5,'All ASGs'!$G:$G,"Approve")</f>
        <v/>
      </c>
      <c r="D5" s="27">
        <f>COUNTIFS('All ASGs'!$A:$A,$A5,'All ASGs'!$G:$G,"Team decision")</f>
        <v/>
      </c>
      <c r="E5" s="27">
        <f>COUNTIFS('All ASGs'!$A:$A,$A5,'All ASGs'!$G:$G,"Keep r6i.xlarge")</f>
        <v/>
      </c>
      <c r="F5" s="28">
        <f>SUMIFS('All ASGs'!$F:$F,'All ASGs'!$A:$A,$A5)</f>
        <v/>
      </c>
      <c r="G5" s="28">
        <f>SUMIFS('All ASGs'!$I:$I,'All ASGs'!$A:$A,$A5,'All ASGs'!$G:$G,"Approve")</f>
        <v/>
      </c>
      <c r="H5" s="28">
        <f>SUMIFS('All ASGs'!$I:$I,'All ASGs'!$A:$A,$A5,'All ASGs'!$G:$G,"Team decision")</f>
        <v/>
      </c>
    </row>
    <row r="6" ht="15" customHeight="1" s="23">
      <c r="A6" s="27" t="inlineStr">
        <is>
          <t>Test</t>
        </is>
      </c>
      <c r="B6" s="27">
        <f>COUNTIFS('All ASGs'!$A:$A,$A6)</f>
        <v/>
      </c>
      <c r="C6" s="27">
        <f>COUNTIFS('All ASGs'!$A:$A,$A6,'All ASGs'!$G:$G,"Approve")</f>
        <v/>
      </c>
      <c r="D6" s="27">
        <f>COUNTIFS('All ASGs'!$A:$A,$A6,'All ASGs'!$G:$G,"Team decision")</f>
        <v/>
      </c>
      <c r="E6" s="27">
        <f>COUNTIFS('All ASGs'!$A:$A,$A6,'All ASGs'!$G:$G,"Keep r6i.xlarge")</f>
        <v/>
      </c>
      <c r="F6" s="28">
        <f>SUMIFS('All ASGs'!$F:$F,'All ASGs'!$A:$A,$A6)</f>
        <v/>
      </c>
      <c r="G6" s="28">
        <f>SUMIFS('All ASGs'!$I:$I,'All ASGs'!$A:$A,$A6,'All ASGs'!$G:$G,"Approve")</f>
        <v/>
      </c>
      <c r="H6" s="28">
        <f>SUMIFS('All ASGs'!$I:$I,'All ASGs'!$A:$A,$A6,'All ASGs'!$G:$G,"Team decision")</f>
        <v/>
      </c>
    </row>
    <row r="7" ht="15" customHeight="1" s="23">
      <c r="A7" s="27" t="inlineStr">
        <is>
          <t>Prod</t>
        </is>
      </c>
      <c r="B7" s="27">
        <f>COUNTIFS('All ASGs'!$A:$A,$A7)</f>
        <v/>
      </c>
      <c r="C7" s="27">
        <f>COUNTIFS('All ASGs'!$A:$A,$A7,'All ASGs'!$G:$G,"Approve")</f>
        <v/>
      </c>
      <c r="D7" s="27">
        <f>COUNTIFS('All ASGs'!$A:$A,$A7,'All ASGs'!$G:$G,"Team decision")</f>
        <v/>
      </c>
      <c r="E7" s="27">
        <f>COUNTIFS('All ASGs'!$A:$A,$A7,'All ASGs'!$G:$G,"Keep r6i.xlarge")</f>
        <v/>
      </c>
      <c r="F7" s="28">
        <f>SUMIFS('All ASGs'!$F:$F,'All ASGs'!$A:$A,$A7)</f>
        <v/>
      </c>
      <c r="G7" s="28">
        <f>SUMIFS('All ASGs'!$I:$I,'All ASGs'!$A:$A,$A7,'All ASGs'!$G:$G,"Approve")</f>
        <v/>
      </c>
      <c r="H7" s="28">
        <f>SUMIFS('All ASGs'!$I:$I,'All ASGs'!$A:$A,$A7,'All ASGs'!$G:$G,"Team decision")</f>
        <v/>
      </c>
    </row>
    <row r="8" ht="15" customHeight="1" s="23">
      <c r="A8" s="29" t="inlineStr">
        <is>
          <t>Total</t>
        </is>
      </c>
      <c r="B8" s="29">
        <f>SUM(B5:B7)</f>
        <v/>
      </c>
      <c r="C8" s="29">
        <f>SUM(C5:C7)</f>
        <v/>
      </c>
      <c r="D8" s="29">
        <f>SUM(D5:D7)</f>
        <v/>
      </c>
      <c r="E8" s="29">
        <f>SUM(E5:E7)</f>
        <v/>
      </c>
      <c r="F8" s="30">
        <f>SUM(F5:F7)</f>
        <v/>
      </c>
      <c r="G8" s="30">
        <f>SUM(G5:G7)</f>
        <v/>
      </c>
      <c r="H8" s="30">
        <f>SUM(H5:H7)</f>
        <v/>
      </c>
    </row>
    <row r="10" ht="15" customHeight="1" s="23">
      <c r="A10" s="25" t="inlineStr">
        <is>
          <t>Updated Oct 19: prod prd-elements-batch and rel-facets-task moved from Keep to Team decision. Their large network peaks happened in one week only.</t>
        </is>
      </c>
    </row>
    <row r="11" ht="15" customHeight="1" s="23">
      <c r="A11" s="25" t="inlineStr">
        <is>
          <t>The 5 ASGs kept on r6i.xlarge have heavy network, memory or CPU every week, not just once.</t>
        </is>
      </c>
    </row>
    <row r="12" ht="15" customHeight="1" s="23">
      <c r="A12" s="25" t="inlineStr">
        <is>
          <t>'Review' tab: every ASG with weekly CPU peaks, usage on the smaller size and the verdict. 'All ASGs': decisions and savings. 'Spike Check': the CPU-spike ASGs.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2" min="1" max="1"/>
    <col width="36" customWidth="1" style="22" min="2" max="2"/>
    <col width="18" customWidth="1" style="22" min="3" max="3"/>
    <col width="20" customWidth="1" style="22" min="4" max="4"/>
    <col width="22" customWidth="1" style="22" min="5" max="8"/>
    <col width="34" customWidth="1" style="22" min="9" max="9"/>
    <col width="70" customWidth="1" style="22" min="10" max="10"/>
  </cols>
  <sheetData>
    <row r="1" ht="39" customHeight="1" s="23">
      <c r="A1" s="26" t="inlineStr">
        <is>
          <t>Environment</t>
        </is>
      </c>
      <c r="B1" s="26" t="inlineStr">
        <is>
          <t>ASG</t>
        </is>
      </c>
      <c r="C1" s="26" t="inlineStr">
        <is>
          <t>Weekly CPU peaks (4 weeks)</t>
        </is>
      </c>
      <c r="D1" s="26" t="inlineStr">
        <is>
          <t>Weekly memory peaks (4 weeks, % of today's 32 GiB)</t>
        </is>
      </c>
      <c r="E1" s="26" t="inlineStr">
        <is>
          <t>Weekly network peaks (4 weeks, Mbps)</t>
        </is>
      </c>
      <c r="F1" s="26" t="inlineStr">
        <is>
          <t>Size checked</t>
        </is>
      </c>
      <c r="G1" s="26" t="inlineStr">
        <is>
          <t>CPU on that size</t>
        </is>
      </c>
      <c r="H1" s="26" t="inlineStr">
        <is>
          <t>Memory on that size</t>
        </is>
      </c>
      <c r="I1" s="26" t="inlineStr">
        <is>
          <t>Network (busiest week, % of that size's limit)</t>
        </is>
      </c>
      <c r="J1" s="26" t="inlineStr">
        <is>
          <t>Verdict</t>
        </is>
      </c>
    </row>
    <row r="2" ht="26.25" customHeight="1" s="23">
      <c r="A2" s="31" t="inlineStr">
        <is>
          <t>Dev</t>
        </is>
      </c>
      <c r="B2" s="31" t="inlineStr">
        <is>
          <t>usmg-cdv-facets-batch-controller</t>
        </is>
      </c>
      <c r="C2" s="31" t="inlineStr">
        <is>
          <t>24, 41, 22, 32%</t>
        </is>
      </c>
      <c r="D2" s="31" t="inlineStr">
        <is>
          <t>16, 17, 17, 18%</t>
        </is>
      </c>
      <c r="E2" s="31" t="inlineStr">
        <is>
          <t>7, 21, 8, 10</t>
        </is>
      </c>
      <c r="F2" s="31" t="inlineStr">
        <is>
          <t>m7i-flex.large</t>
        </is>
      </c>
      <c r="G2" s="31" t="inlineStr">
        <is>
          <t>43–81%</t>
        </is>
      </c>
      <c r="H2" s="31" t="inlineStr">
        <is>
          <t>66–72%</t>
        </is>
      </c>
      <c r="I2" s="31" t="inlineStr">
        <is>
          <t>max 21 Mbps (5%)</t>
        </is>
      </c>
      <c r="J2" s="32" t="inlineStr">
        <is>
          <t>✅ Safe, m7i-flex.large (~$97/mo). Fits every limit; memory is the closest (up to 72%), so watch it for 2 weeks after the change.</t>
        </is>
      </c>
    </row>
    <row r="3" ht="15" customHeight="1" s="23">
      <c r="A3" s="31" t="inlineStr">
        <is>
          <t>Dev</t>
        </is>
      </c>
      <c r="B3" s="31" t="inlineStr">
        <is>
          <t>usmg-cdv-elements-batch-controller</t>
        </is>
      </c>
      <c r="C3" s="31" t="inlineStr">
        <is>
          <t>28, 28, 28, 28%</t>
        </is>
      </c>
      <c r="D3" s="31" t="inlineStr">
        <is>
          <t>11, 12, 12, 12%</t>
        </is>
      </c>
      <c r="E3" s="31" t="inlineStr">
        <is>
          <t>7, 16, 9, 7</t>
        </is>
      </c>
      <c r="F3" s="31" t="inlineStr">
        <is>
          <t>m7i-flex.large</t>
        </is>
      </c>
      <c r="G3" s="31" t="inlineStr">
        <is>
          <t>55–57%</t>
        </is>
      </c>
      <c r="H3" s="31" t="inlineStr">
        <is>
          <t>46–47%</t>
        </is>
      </c>
      <c r="I3" s="31" t="inlineStr">
        <is>
          <t>max 16 Mbps (4%)</t>
        </is>
      </c>
      <c r="J3" s="32" t="inlineStr">
        <is>
          <t>✅ Safe, m7i-flex.large (~$95/mo). Well under every limit.</t>
        </is>
      </c>
    </row>
    <row r="4" ht="26.25" customHeight="1" s="23">
      <c r="A4" s="31" t="inlineStr">
        <is>
          <t>Dev</t>
        </is>
      </c>
      <c r="B4" s="31" t="inlineStr">
        <is>
          <t>usmg-dst-elements-batch-controller</t>
        </is>
      </c>
      <c r="C4" s="31" t="inlineStr">
        <is>
          <t>27, 23, 19, 71%</t>
        </is>
      </c>
      <c r="D4" s="31" t="inlineStr">
        <is>
          <t>11, 11, 11, 14%</t>
        </is>
      </c>
      <c r="E4" s="31" t="inlineStr">
        <is>
          <t>7, 21, 8, 50</t>
        </is>
      </c>
      <c r="F4" s="31" t="inlineStr">
        <is>
          <t>m7i-flex.large</t>
        </is>
      </c>
      <c r="G4" s="31" t="inlineStr">
        <is>
          <t>38–54% (142% in one week)</t>
        </is>
      </c>
      <c r="H4" s="31" t="inlineStr">
        <is>
          <t>44–55%</t>
        </is>
      </c>
      <c r="I4" s="31" t="inlineStr">
        <is>
          <t>max 50 Mbps (13%)</t>
        </is>
      </c>
      <c r="J4" s="32" t="inlineStr">
        <is>
          <t>✅ Safe, m7i-flex.large (~$94/mo). The high CPU peak happened in one week only.</t>
        </is>
      </c>
    </row>
    <row r="5" ht="26.25" customHeight="1" s="23">
      <c r="A5" s="31" t="inlineStr">
        <is>
          <t>Dev</t>
        </is>
      </c>
      <c r="B5" s="31" t="inlineStr">
        <is>
          <t>usmg-dev-elements-batch-controller</t>
        </is>
      </c>
      <c r="C5" s="31" t="inlineStr">
        <is>
          <t>29, 23, 23, 47%</t>
        </is>
      </c>
      <c r="D5" s="31" t="inlineStr">
        <is>
          <t>20, 20, 18, 21%</t>
        </is>
      </c>
      <c r="E5" s="31" t="inlineStr">
        <is>
          <t>33, 25, 10, 35</t>
        </is>
      </c>
      <c r="F5" s="31" t="inlineStr">
        <is>
          <t>r6i.large</t>
        </is>
      </c>
      <c r="G5" s="31" t="inlineStr">
        <is>
          <t>45–57% (95% in one week)</t>
        </is>
      </c>
      <c r="H5" s="31" t="inlineStr">
        <is>
          <t>36–42%</t>
        </is>
      </c>
      <c r="I5" s="31" t="inlineStr">
        <is>
          <t>max 35 Mbps (4%)</t>
        </is>
      </c>
      <c r="J5" s="32" t="inlineStr">
        <is>
          <t>✅ Safe, r6i.large (~$93/mo). m7i-flex.large would reach 84% memory, so r6i.large instead.</t>
        </is>
      </c>
    </row>
    <row r="6" ht="26.25" customHeight="1" s="23">
      <c r="A6" s="31" t="inlineStr">
        <is>
          <t>Dev</t>
        </is>
      </c>
      <c r="B6" s="31" t="inlineStr">
        <is>
          <t>usmg-dev-elements-task-controller</t>
        </is>
      </c>
      <c r="C6" s="31" t="inlineStr">
        <is>
          <t>30, 73, 28, 27%</t>
        </is>
      </c>
      <c r="D6" s="31" t="inlineStr">
        <is>
          <t>19, 20, 19, 20%</t>
        </is>
      </c>
      <c r="E6" s="31" t="inlineStr">
        <is>
          <t>21, 59, 26, 10</t>
        </is>
      </c>
      <c r="F6" s="31" t="inlineStr">
        <is>
          <t>r6i.large</t>
        </is>
      </c>
      <c r="G6" s="31" t="inlineStr">
        <is>
          <t>55–60% (146% in one week)</t>
        </is>
      </c>
      <c r="H6" s="31" t="inlineStr">
        <is>
          <t>37–41%</t>
        </is>
      </c>
      <c r="I6" s="31" t="inlineStr">
        <is>
          <t>max 59 Mbps (8%)</t>
        </is>
      </c>
      <c r="J6" s="32" t="inlineStr">
        <is>
          <t>✅ Safe, r6i.large (~$93/mo). The high CPU peak happened in one week only.</t>
        </is>
      </c>
    </row>
    <row r="7" ht="26.25" customHeight="1" s="23">
      <c r="A7" s="31" t="inlineStr">
        <is>
          <t>Dev</t>
        </is>
      </c>
      <c r="B7" s="31" t="inlineStr">
        <is>
          <t>usmg-cdv-elements-task-controller</t>
        </is>
      </c>
      <c r="C7" s="31" t="inlineStr">
        <is>
          <t>31, 33, 24, 27%</t>
        </is>
      </c>
      <c r="D7" s="31" t="inlineStr">
        <is>
          <t>15, 21, 15, 15%</t>
        </is>
      </c>
      <c r="E7" s="31" t="inlineStr">
        <is>
          <t>20, 40, 10, 8</t>
        </is>
      </c>
      <c r="F7" s="31" t="inlineStr">
        <is>
          <t>r6i.large</t>
        </is>
      </c>
      <c r="G7" s="31" t="inlineStr">
        <is>
          <t>48–67%</t>
        </is>
      </c>
      <c r="H7" s="31" t="inlineStr">
        <is>
          <t>31–42%</t>
        </is>
      </c>
      <c r="I7" s="31" t="inlineStr">
        <is>
          <t>max 40 Mbps (5%)</t>
        </is>
      </c>
      <c r="J7" s="32" t="inlineStr">
        <is>
          <t>✅ Safe, r6i.large (~$91/mo). m7i-flex.large would reach 83% memory, so r6i.large instead.</t>
        </is>
      </c>
    </row>
    <row r="8" ht="26.25" customHeight="1" s="23">
      <c r="A8" s="31" t="inlineStr">
        <is>
          <t>Dev</t>
        </is>
      </c>
      <c r="B8" s="31" t="inlineStr">
        <is>
          <t>usmg-dev-facets-task-controller</t>
        </is>
      </c>
      <c r="C8" s="31" t="inlineStr">
        <is>
          <t>58, 34, 31, 34%</t>
        </is>
      </c>
      <c r="D8" s="31" t="inlineStr">
        <is>
          <t>16, 19, 20, 20%</t>
        </is>
      </c>
      <c r="E8" s="31" t="inlineStr">
        <is>
          <t>373, 34, 35, 35</t>
        </is>
      </c>
      <c r="F8" s="31" t="inlineStr">
        <is>
          <t>r6i.large</t>
        </is>
      </c>
      <c r="G8" s="31" t="inlineStr">
        <is>
          <t>62–69% (116% in one week)</t>
        </is>
      </c>
      <c r="H8" s="31" t="inlineStr">
        <is>
          <t>31–41%</t>
        </is>
      </c>
      <c r="I8" s="31" t="inlineStr">
        <is>
          <t>373 Mbps in one week only (48%); other weeks 34–35 Mbps</t>
        </is>
      </c>
      <c r="J8" s="32" t="inlineStr">
        <is>
          <t>✅ Safe, r6i.large (~$91/mo). CPU and network peaks were both in one week only. Not m7i-flex.large: that network peak is 96% of its limit.</t>
        </is>
      </c>
    </row>
    <row r="9" ht="26.25" customHeight="1" s="23">
      <c r="A9" s="31" t="inlineStr">
        <is>
          <t>Dev</t>
        </is>
      </c>
      <c r="B9" s="31" t="inlineStr">
        <is>
          <t>usmg-cdv-facets-task-controller</t>
        </is>
      </c>
      <c r="C9" s="31" t="inlineStr">
        <is>
          <t>36, 30, 44, 27%</t>
        </is>
      </c>
      <c r="D9" s="31" t="inlineStr">
        <is>
          <t>16, 18, 20, 20%</t>
        </is>
      </c>
      <c r="E9" s="31" t="inlineStr">
        <is>
          <t>36, 49, 35, 35</t>
        </is>
      </c>
      <c r="F9" s="31" t="inlineStr">
        <is>
          <t>r6i.large</t>
        </is>
      </c>
      <c r="G9" s="31" t="inlineStr">
        <is>
          <t>54–88%</t>
        </is>
      </c>
      <c r="H9" s="31" t="inlineStr">
        <is>
          <t>32–39%</t>
        </is>
      </c>
      <c r="I9" s="31" t="inlineStr">
        <is>
          <t>max 49 Mbps (6%)</t>
        </is>
      </c>
      <c r="J9" s="32" t="inlineStr">
        <is>
          <t>✅ Safe, r6i.large (~$78/mo). m7i-flex.large would reach 79% memory, so r6i.large instead.</t>
        </is>
      </c>
    </row>
    <row r="10" ht="39" customHeight="1" s="23">
      <c r="A10" s="31" t="inlineStr">
        <is>
          <t>Dev</t>
        </is>
      </c>
      <c r="B10" s="31" t="inlineStr">
        <is>
          <t>usmg-dst-elements-task-controller</t>
        </is>
      </c>
      <c r="C10" s="31" t="inlineStr">
        <is>
          <t>66, 37, 30, 63%</t>
        </is>
      </c>
      <c r="D10" s="31" t="inlineStr">
        <is>
          <t>26, 30, 19, 19%</t>
        </is>
      </c>
      <c r="E10" s="31" t="inlineStr">
        <is>
          <t>171, 43, 8, 49</t>
        </is>
      </c>
      <c r="F10" s="31" t="inlineStr">
        <is>
          <t>r6i.large</t>
        </is>
      </c>
      <c r="G10" s="31" t="inlineStr">
        <is>
          <t>61–131%</t>
        </is>
      </c>
      <c r="H10" s="31" t="inlineStr">
        <is>
          <t>37–59%</t>
        </is>
      </c>
      <c r="I10" s="31" t="inlineStr">
        <is>
          <t>171 Mbps in one week only (22%); other weeks 8–49 Mbps</t>
        </is>
      </c>
      <c r="J10" s="33" t="inlineStr">
        <is>
          <t>⚠️ Team decision, r6i.large (~$81/mo). CPU peaks come back (2 of 4 weeks) and would max out the smaller size. Ask: can that job run slower for a few minutes?</t>
        </is>
      </c>
    </row>
    <row r="11" ht="26.25" customHeight="1" s="23">
      <c r="A11" s="31" t="inlineStr">
        <is>
          <t>Dev</t>
        </is>
      </c>
      <c r="B11" s="31" t="inlineStr">
        <is>
          <t>usmg-dev-facets-batch-controller</t>
        </is>
      </c>
      <c r="C11" s="31" t="inlineStr">
        <is>
          <t>60, 62, 65, 64%</t>
        </is>
      </c>
      <c r="D11" s="31" t="inlineStr">
        <is>
          <t>42, 28, 77, 31%</t>
        </is>
      </c>
      <c r="E11" s="31" t="inlineStr">
        <is>
          <t>1,090, 1,105, 1,112, 1,121</t>
        </is>
      </c>
      <c r="F11" s="31" t="inlineStr">
        <is>
          <t>r6i.large</t>
        </is>
      </c>
      <c r="G11" s="31" t="inlineStr">
        <is>
          <t>119–129%</t>
        </is>
      </c>
      <c r="H11" s="31" t="inlineStr">
        <is>
          <t>57–84% (154% in one week)</t>
        </is>
      </c>
      <c r="I11" s="31" t="inlineStr">
        <is>
          <t>max 1,121 Mbps (144%)</t>
        </is>
      </c>
      <c r="J11" s="34" t="inlineStr">
        <is>
          <t>❌ Keep r6i.xlarge. Network is over 1 Gbps every week, above what r6i.large can sustain.</t>
        </is>
      </c>
    </row>
    <row r="12" ht="26.25" customHeight="1" s="23">
      <c r="A12" s="31" t="inlineStr">
        <is>
          <t>Dev</t>
        </is>
      </c>
      <c r="B12" s="31" t="inlineStr">
        <is>
          <t>usmg-dst-facets-batch-controller</t>
        </is>
      </c>
      <c r="C12" s="31" t="inlineStr">
        <is>
          <t>35, 35, 60, 69%</t>
        </is>
      </c>
      <c r="D12" s="31" t="inlineStr">
        <is>
          <t>12, 13, 14, 15%</t>
        </is>
      </c>
      <c r="E12" s="31" t="inlineStr">
        <is>
          <t>21, 21, 20, 22</t>
        </is>
      </c>
      <c r="F12" s="31" t="inlineStr">
        <is>
          <t>r6i.large</t>
        </is>
      </c>
      <c r="G12" s="31" t="inlineStr">
        <is>
          <t>70–138%</t>
        </is>
      </c>
      <c r="H12" s="31" t="inlineStr">
        <is>
          <t>24–29%</t>
        </is>
      </c>
      <c r="I12" s="31" t="inlineStr">
        <is>
          <t>max 22 Mbps (3%)</t>
        </is>
      </c>
      <c r="J12" s="34" t="inlineStr">
        <is>
          <t>❌ Keep r6i.xlarge. CPU is getting busier (p95 31-32% in the last 2 weeks), with peaks above 100% on 2 vCPU.</t>
        </is>
      </c>
    </row>
    <row r="13" ht="26.25" customHeight="1" s="23">
      <c r="A13" s="31" t="inlineStr">
        <is>
          <t>Test</t>
        </is>
      </c>
      <c r="B13" s="31" t="inlineStr">
        <is>
          <t>usmg-pvs-elements-task-controller</t>
        </is>
      </c>
      <c r="C13" s="31" t="inlineStr">
        <is>
          <t>27, 26, 21, 30%</t>
        </is>
      </c>
      <c r="D13" s="31" t="inlineStr">
        <is>
          <t>22, 16, 15, 15%</t>
        </is>
      </c>
      <c r="E13" s="31" t="inlineStr">
        <is>
          <t>78, 56, 45, 56</t>
        </is>
      </c>
      <c r="F13" s="31" t="inlineStr">
        <is>
          <t>r6i.large</t>
        </is>
      </c>
      <c r="G13" s="31" t="inlineStr">
        <is>
          <t>41–60%</t>
        </is>
      </c>
      <c r="H13" s="31" t="inlineStr">
        <is>
          <t>30–44%</t>
        </is>
      </c>
      <c r="I13" s="31" t="inlineStr">
        <is>
          <t>max 78 Mbps (10%)</t>
        </is>
      </c>
      <c r="J13" s="32" t="inlineStr">
        <is>
          <t>✅ Safe, r6i.large (~$71/mo). m7i-flex.large would reach 87% memory, so r6i.large instead.</t>
        </is>
      </c>
    </row>
    <row r="14" ht="26.25" customHeight="1" s="23">
      <c r="A14" s="31" t="inlineStr">
        <is>
          <t>Test</t>
        </is>
      </c>
      <c r="B14" s="31" t="inlineStr">
        <is>
          <t>usmg-pvs-elements-batch-controller</t>
        </is>
      </c>
      <c r="C14" s="31" t="inlineStr">
        <is>
          <t>19, 25, 20, 19%</t>
        </is>
      </c>
      <c r="D14" s="31" t="inlineStr">
        <is>
          <t>19, 18, 18, 19%</t>
        </is>
      </c>
      <c r="E14" s="31" t="inlineStr">
        <is>
          <t>43, 58, 50, 56</t>
        </is>
      </c>
      <c r="F14" s="31" t="inlineStr">
        <is>
          <t>r6i.large</t>
        </is>
      </c>
      <c r="G14" s="31" t="inlineStr">
        <is>
          <t>37–50%</t>
        </is>
      </c>
      <c r="H14" s="31" t="inlineStr">
        <is>
          <t>36–39%</t>
        </is>
      </c>
      <c r="I14" s="31" t="inlineStr">
        <is>
          <t>max 58 Mbps (7%)</t>
        </is>
      </c>
      <c r="J14" s="32" t="inlineStr">
        <is>
          <t>✅ Safe, r6i.large (~$68/mo). m7i-flex.large would reach 78% memory, so r6i.large instead.</t>
        </is>
      </c>
    </row>
    <row r="15" ht="26.25" customHeight="1" s="23">
      <c r="A15" s="31" t="inlineStr">
        <is>
          <t>Test</t>
        </is>
      </c>
      <c r="B15" s="31" t="inlineStr">
        <is>
          <t>usmg-int-elements-task-controller</t>
        </is>
      </c>
      <c r="C15" s="31" t="inlineStr">
        <is>
          <t>30, 27, 29, 26%</t>
        </is>
      </c>
      <c r="D15" s="31" t="inlineStr">
        <is>
          <t>23, 19, 18, 19%</t>
        </is>
      </c>
      <c r="E15" s="31" t="inlineStr">
        <is>
          <t>52, 68, 56, 49</t>
        </is>
      </c>
      <c r="F15" s="31" t="inlineStr">
        <is>
          <t>r6i.large</t>
        </is>
      </c>
      <c r="G15" s="31" t="inlineStr">
        <is>
          <t>52–61%</t>
        </is>
      </c>
      <c r="H15" s="31" t="inlineStr">
        <is>
          <t>37–46%</t>
        </is>
      </c>
      <c r="I15" s="31" t="inlineStr">
        <is>
          <t>max 68 Mbps (9%)</t>
        </is>
      </c>
      <c r="J15" s="32" t="inlineStr">
        <is>
          <t>✅ Safe, r6i.large (~$64/mo). m7i-flex.large would reach 92% memory, so r6i.large instead.</t>
        </is>
      </c>
    </row>
    <row r="16" ht="26.25" customHeight="1" s="23">
      <c r="A16" s="31" t="inlineStr">
        <is>
          <t>Test</t>
        </is>
      </c>
      <c r="B16" s="31" t="inlineStr">
        <is>
          <t>usmg-int-elements-batch-controller</t>
        </is>
      </c>
      <c r="C16" s="31" t="inlineStr">
        <is>
          <t>77, 59, 52, 46%</t>
        </is>
      </c>
      <c r="D16" s="31" t="inlineStr">
        <is>
          <t>22, 20, 20, 20%</t>
        </is>
      </c>
      <c r="E16" s="31" t="inlineStr">
        <is>
          <t>203, 62, 65, 66</t>
        </is>
      </c>
      <c r="F16" s="31" t="inlineStr">
        <is>
          <t>r6i.large</t>
        </is>
      </c>
      <c r="G16" s="31" t="inlineStr">
        <is>
          <t>92–154%</t>
        </is>
      </c>
      <c r="H16" s="31" t="inlineStr">
        <is>
          <t>39–44%</t>
        </is>
      </c>
      <c r="I16" s="31" t="inlineStr">
        <is>
          <t>203 Mbps in one week only (26%); other weeks 62–66 Mbps</t>
        </is>
      </c>
      <c r="J16" s="33" t="inlineStr">
        <is>
          <t>⚠️ Team decision, r6i.large (~$57/mo). Busy every week; peaks would max out the smaller size. Ask: can test jobs run slower?</t>
        </is>
      </c>
    </row>
    <row r="17" ht="26.25" customHeight="1" s="23">
      <c r="A17" s="31" t="inlineStr">
        <is>
          <t>Test</t>
        </is>
      </c>
      <c r="B17" s="31" t="inlineStr">
        <is>
          <t>usmg-pvs-facets-task-controller</t>
        </is>
      </c>
      <c r="C17" s="31" t="inlineStr">
        <is>
          <t>52, 39, 73, 35%</t>
        </is>
      </c>
      <c r="D17" s="31" t="inlineStr">
        <is>
          <t>20, 34, 28, 27%</t>
        </is>
      </c>
      <c r="E17" s="31" t="inlineStr">
        <is>
          <t>56, 143, 76, 77</t>
        </is>
      </c>
      <c r="F17" s="31" t="inlineStr">
        <is>
          <t>r6i.large</t>
        </is>
      </c>
      <c r="G17" s="31" t="inlineStr">
        <is>
          <t>69–147%</t>
        </is>
      </c>
      <c r="H17" s="31" t="inlineStr">
        <is>
          <t>39–68%</t>
        </is>
      </c>
      <c r="I17" s="31" t="inlineStr">
        <is>
          <t>143 Mbps in one week only (18%); other weeks 56–77 Mbps</t>
        </is>
      </c>
      <c r="J17" s="33" t="inlineStr">
        <is>
          <t>⚠️ Team decision, r6i.large (~$48/mo). Peaks every week would reach or pass 100% on the smaller size. Ask: can test jobs run slower?</t>
        </is>
      </c>
    </row>
    <row r="18" ht="26.25" customHeight="1" s="23">
      <c r="A18" s="31" t="inlineStr">
        <is>
          <t>Test</t>
        </is>
      </c>
      <c r="B18" s="31" t="inlineStr">
        <is>
          <t>usmg-pvs-facets-batch-controller</t>
        </is>
      </c>
      <c r="C18" s="31" t="inlineStr">
        <is>
          <t>77, 69, 72, 71%</t>
        </is>
      </c>
      <c r="D18" s="31" t="inlineStr">
        <is>
          <t>99, 99, 99, 100%</t>
        </is>
      </c>
      <c r="E18" s="31" t="inlineStr">
        <is>
          <t>1,637, 1,734, 1,733, 1,777</t>
        </is>
      </c>
      <c r="F18" s="31" t="inlineStr">
        <is>
          <t>r6i.large</t>
        </is>
      </c>
      <c r="G18" s="31" t="inlineStr">
        <is>
          <t>139–155%</t>
        </is>
      </c>
      <c r="H18" s="31" t="inlineStr">
        <is>
          <t>198–199%</t>
        </is>
      </c>
      <c r="I18" s="31" t="inlineStr">
        <is>
          <t>max 1,777 Mbps (228%)</t>
        </is>
      </c>
      <c r="J18" s="34" t="inlineStr">
        <is>
          <t>❌ Keep r6i.xlarge. Memory hits 99% every week and network is 1.6-1.8 Gbps every week. Ask the app owner to check for a memory leak.</t>
        </is>
      </c>
    </row>
    <row r="19" ht="26.25" customHeight="1" s="23">
      <c r="A19" s="31" t="inlineStr">
        <is>
          <t>Test</t>
        </is>
      </c>
      <c r="B19" s="31" t="inlineStr">
        <is>
          <t>usmg-int-facets-task-controller</t>
        </is>
      </c>
      <c r="C19" s="31" t="inlineStr">
        <is>
          <t>98, 31, 28, 88%</t>
        </is>
      </c>
      <c r="D19" s="31" t="inlineStr">
        <is>
          <t>16, 14, 17, 21%</t>
        </is>
      </c>
      <c r="E19" s="31" t="inlineStr">
        <is>
          <t>380, 76, 82, 2,120</t>
        </is>
      </c>
      <c r="F19" s="31" t="inlineStr">
        <is>
          <t>r6i.large</t>
        </is>
      </c>
      <c r="G19" s="31" t="inlineStr">
        <is>
          <t>57–195%</t>
        </is>
      </c>
      <c r="H19" s="31" t="inlineStr">
        <is>
          <t>28–43%</t>
        </is>
      </c>
      <c r="I19" s="31" t="inlineStr">
        <is>
          <t>2,120 Mbps in one week only (271%); other weeks 76–380 Mbps</t>
        </is>
      </c>
      <c r="J19" s="34" t="inlineStr">
        <is>
          <t>❌ Keep r6i.xlarge. CPU already reached 98% and 88% on 4 vCPU in two weeks; network hit 2.1 Gbps once.</t>
        </is>
      </c>
    </row>
    <row r="20" ht="26.25" customHeight="1" s="23">
      <c r="A20" s="31" t="inlineStr">
        <is>
          <t>Test</t>
        </is>
      </c>
      <c r="B20" s="31" t="inlineStr">
        <is>
          <t>usmg-int-facets-batch-controller</t>
        </is>
      </c>
      <c r="C20" s="31" t="inlineStr">
        <is>
          <t>67, 74, 69, 69%</t>
        </is>
      </c>
      <c r="D20" s="31" t="inlineStr">
        <is>
          <t>20, 19, 22, 20%</t>
        </is>
      </c>
      <c r="E20" s="31" t="inlineStr">
        <is>
          <t>1,175, 1,124, 1,127, 1,313</t>
        </is>
      </c>
      <c r="F20" s="31" t="inlineStr">
        <is>
          <t>r6i.large</t>
        </is>
      </c>
      <c r="G20" s="31" t="inlineStr">
        <is>
          <t>133–148%</t>
        </is>
      </c>
      <c r="H20" s="31" t="inlineStr">
        <is>
          <t>38–43%</t>
        </is>
      </c>
      <c r="I20" s="31" t="inlineStr">
        <is>
          <t>max 1,313 Mbps (168%)</t>
        </is>
      </c>
      <c r="J20" s="34" t="inlineStr">
        <is>
          <t>❌ Keep r6i.xlarge. Network is 1.1-1.3 Gbps every week and CPU peaks near 70% every week.</t>
        </is>
      </c>
    </row>
    <row r="21" ht="26.25" customHeight="1" s="23">
      <c r="A21" s="31" t="inlineStr">
        <is>
          <t>Prod</t>
        </is>
      </c>
      <c r="B21" s="31" t="inlineStr">
        <is>
          <t>usmg-pfx-elements-batch-controller</t>
        </is>
      </c>
      <c r="C21" s="31" t="inlineStr">
        <is>
          <t>28, 22, 27, 20%</t>
        </is>
      </c>
      <c r="D21" s="31" t="inlineStr">
        <is>
          <t>8, 8, 8, 8%</t>
        </is>
      </c>
      <c r="E21" s="31" t="inlineStr">
        <is>
          <t>12, 15, 14, 16</t>
        </is>
      </c>
      <c r="F21" s="31" t="inlineStr">
        <is>
          <t>m7i-flex.large</t>
        </is>
      </c>
      <c r="G21" s="31" t="inlineStr">
        <is>
          <t>41–56%</t>
        </is>
      </c>
      <c r="H21" s="31" t="inlineStr">
        <is>
          <t>33–34%</t>
        </is>
      </c>
      <c r="I21" s="31" t="inlineStr">
        <is>
          <t>max 16 Mbps (4%)</t>
        </is>
      </c>
      <c r="J21" s="32" t="inlineStr">
        <is>
          <t>✅ Safe, m7i-flex.large (~$110/mo). Chosen over FinOps' c7i-flex.large, whose 4 GiB is too tight for Windows in prod.</t>
        </is>
      </c>
    </row>
    <row r="22" ht="26.25" customHeight="1" s="23">
      <c r="A22" s="31" t="inlineStr">
        <is>
          <t>Prod</t>
        </is>
      </c>
      <c r="B22" s="31" t="inlineStr">
        <is>
          <t>usmg-pfx-facets-batch-controller</t>
        </is>
      </c>
      <c r="C22" s="31" t="inlineStr">
        <is>
          <t>36, 44, 42, 47%</t>
        </is>
      </c>
      <c r="D22" s="31" t="inlineStr">
        <is>
          <t>16, 16, 16, 16%</t>
        </is>
      </c>
      <c r="E22" s="31" t="inlineStr">
        <is>
          <t>19, 19, 19, 22</t>
        </is>
      </c>
      <c r="F22" s="31" t="inlineStr">
        <is>
          <t>m7i-flex.large</t>
        </is>
      </c>
      <c r="G22" s="31" t="inlineStr">
        <is>
          <t>73–94%</t>
        </is>
      </c>
      <c r="H22" s="31" t="inlineStr">
        <is>
          <t>65–65%</t>
        </is>
      </c>
      <c r="I22" s="31" t="inlineStr">
        <is>
          <t>max 22 Mbps (6%)</t>
        </is>
      </c>
      <c r="J22" s="32" t="inlineStr">
        <is>
          <t>✅ Safe, m7i-flex.large (~$106/mo). The same peak every week, and it stays under 100% on the smaller size. Watch CPU for 2 weeks.</t>
        </is>
      </c>
    </row>
    <row r="23" ht="15" customHeight="1" s="23">
      <c r="A23" s="31" t="inlineStr">
        <is>
          <t>Prod</t>
        </is>
      </c>
      <c r="B23" s="31" t="inlineStr">
        <is>
          <t>usmg-pfx-elements-task-controller</t>
        </is>
      </c>
      <c r="C23" s="31" t="inlineStr">
        <is>
          <t>21, 25, 27, 24%</t>
        </is>
      </c>
      <c r="D23" s="31" t="inlineStr">
        <is>
          <t>11, 11, 11, 11%</t>
        </is>
      </c>
      <c r="E23" s="31" t="inlineStr">
        <is>
          <t>14, 12, 11, 15</t>
        </is>
      </c>
      <c r="F23" s="31" t="inlineStr">
        <is>
          <t>m7i-flex.large</t>
        </is>
      </c>
      <c r="G23" s="31" t="inlineStr">
        <is>
          <t>42–54%</t>
        </is>
      </c>
      <c r="H23" s="31" t="inlineStr">
        <is>
          <t>44–45%</t>
        </is>
      </c>
      <c r="I23" s="31" t="inlineStr">
        <is>
          <t>max 15 Mbps (4%)</t>
        </is>
      </c>
      <c r="J23" s="32" t="inlineStr">
        <is>
          <t>✅ Safe, m7i-flex.large (~$105/mo). Well under every limit.</t>
        </is>
      </c>
    </row>
    <row r="24" ht="26.25" customHeight="1" s="23">
      <c r="A24" s="31" t="inlineStr">
        <is>
          <t>Prod</t>
        </is>
      </c>
      <c r="B24" s="31" t="inlineStr">
        <is>
          <t>usmg-rel-elements-batch-controller</t>
        </is>
      </c>
      <c r="C24" s="31" t="inlineStr">
        <is>
          <t>21, 63, 24, 29%</t>
        </is>
      </c>
      <c r="D24" s="31" t="inlineStr">
        <is>
          <t>14, 13, 13, 13%</t>
        </is>
      </c>
      <c r="E24" s="31" t="inlineStr">
        <is>
          <t>12, 225, 11, 14</t>
        </is>
      </c>
      <c r="F24" s="31" t="inlineStr">
        <is>
          <t>r6i.large</t>
        </is>
      </c>
      <c r="G24" s="31" t="inlineStr">
        <is>
          <t>41–58% (127% in one week)</t>
        </is>
      </c>
      <c r="H24" s="31" t="inlineStr">
        <is>
          <t>26–27%</t>
        </is>
      </c>
      <c r="I24" s="31" t="inlineStr">
        <is>
          <t>225 Mbps in one week only (29%); other weeks 11–14 Mbps</t>
        </is>
      </c>
      <c r="J24" s="32" t="inlineStr">
        <is>
          <t>✅ Safe, r6i.large (~$94/mo). CPU and network peaks were both in one week only.</t>
        </is>
      </c>
    </row>
    <row r="25" ht="26.25" customHeight="1" s="23">
      <c r="A25" s="31" t="inlineStr">
        <is>
          <t>Prod</t>
        </is>
      </c>
      <c r="B25" s="31" t="inlineStr">
        <is>
          <t>usmg-rel-elements-task-controller</t>
        </is>
      </c>
      <c r="C25" s="31" t="inlineStr">
        <is>
          <t>27, 31, 33, 26%</t>
        </is>
      </c>
      <c r="D25" s="31" t="inlineStr">
        <is>
          <t>21, 18, 20, 17%</t>
        </is>
      </c>
      <c r="E25" s="31" t="inlineStr">
        <is>
          <t>79, 15, 39, 14</t>
        </is>
      </c>
      <c r="F25" s="31" t="inlineStr">
        <is>
          <t>r6i.large</t>
        </is>
      </c>
      <c r="G25" s="31" t="inlineStr">
        <is>
          <t>52–65%</t>
        </is>
      </c>
      <c r="H25" s="31" t="inlineStr">
        <is>
          <t>33–42%</t>
        </is>
      </c>
      <c r="I25" s="31" t="inlineStr">
        <is>
          <t>max 79 Mbps (10%)</t>
        </is>
      </c>
      <c r="J25" s="32" t="inlineStr">
        <is>
          <t>✅ Safe, r6i.large (~$93/mo). Very steady. m7i-flex.large would reach 85% memory.</t>
        </is>
      </c>
    </row>
    <row r="26" ht="26.25" customHeight="1" s="23">
      <c r="A26" s="31" t="inlineStr">
        <is>
          <t>Prod</t>
        </is>
      </c>
      <c r="B26" s="31" t="inlineStr">
        <is>
          <t>usmg-pfx-facets-task-controller</t>
        </is>
      </c>
      <c r="C26" s="31" t="inlineStr">
        <is>
          <t>23, 27, 19, 33%</t>
        </is>
      </c>
      <c r="D26" s="31" t="inlineStr">
        <is>
          <t>22, 20, 21, 21%</t>
        </is>
      </c>
      <c r="E26" s="31" t="inlineStr">
        <is>
          <t>12, 12, 11, 12</t>
        </is>
      </c>
      <c r="F26" s="31" t="inlineStr">
        <is>
          <t>r6i.large</t>
        </is>
      </c>
      <c r="G26" s="31" t="inlineStr">
        <is>
          <t>37–66%</t>
        </is>
      </c>
      <c r="H26" s="31" t="inlineStr">
        <is>
          <t>41–44%</t>
        </is>
      </c>
      <c r="I26" s="31" t="inlineStr">
        <is>
          <t>max 12 Mbps (2%)</t>
        </is>
      </c>
      <c r="J26" s="32" t="inlineStr">
        <is>
          <t>✅ Safe, r6i.large (~$93/mo). m7i-flex.large would reach 88% memory, so r6i.large instead.</t>
        </is>
      </c>
    </row>
    <row r="27" ht="15" customHeight="1" s="23">
      <c r="A27" s="31" t="inlineStr">
        <is>
          <t>Prod</t>
        </is>
      </c>
      <c r="B27" s="31" t="inlineStr">
        <is>
          <t>usmg-prd-elements-task-controller</t>
        </is>
      </c>
      <c r="C27" s="31" t="inlineStr">
        <is>
          <t>22, 28, 26, 25%</t>
        </is>
      </c>
      <c r="D27" s="31" t="inlineStr">
        <is>
          <t>17, 17, 20, 16%</t>
        </is>
      </c>
      <c r="E27" s="31" t="inlineStr">
        <is>
          <t>15, 41, 37, 15</t>
        </is>
      </c>
      <c r="F27" s="31" t="inlineStr">
        <is>
          <t>r6i.large</t>
        </is>
      </c>
      <c r="G27" s="31" t="inlineStr">
        <is>
          <t>43–56%</t>
        </is>
      </c>
      <c r="H27" s="31" t="inlineStr">
        <is>
          <t>32–40%</t>
        </is>
      </c>
      <c r="I27" s="31" t="inlineStr">
        <is>
          <t>max 41 Mbps (5%)</t>
        </is>
      </c>
      <c r="J27" s="32" t="inlineStr">
        <is>
          <t>✅ Safe, r6i.large (~$93/mo). Very steady and well under every limit.</t>
        </is>
      </c>
    </row>
    <row r="28" ht="26.25" customHeight="1" s="23">
      <c r="A28" s="31" t="inlineStr">
        <is>
          <t>Prod</t>
        </is>
      </c>
      <c r="B28" s="31" t="inlineStr">
        <is>
          <t>usmg-prd-facets-task-controller</t>
        </is>
      </c>
      <c r="C28" s="31" t="inlineStr">
        <is>
          <t>26, 28, 23, 38%</t>
        </is>
      </c>
      <c r="D28" s="31" t="inlineStr">
        <is>
          <t>21, 30, 24, 23%</t>
        </is>
      </c>
      <c r="E28" s="31" t="inlineStr">
        <is>
          <t>34, 83, 39, 59</t>
        </is>
      </c>
      <c r="F28" s="31" t="inlineStr">
        <is>
          <t>r6i.large</t>
        </is>
      </c>
      <c r="G28" s="31" t="inlineStr">
        <is>
          <t>46–77%</t>
        </is>
      </c>
      <c r="H28" s="31" t="inlineStr">
        <is>
          <t>41–60%</t>
        </is>
      </c>
      <c r="I28" s="31" t="inlineStr">
        <is>
          <t>max 83 Mbps (11%)</t>
        </is>
      </c>
      <c r="J28" s="32" t="inlineStr">
        <is>
          <t>✅ Safe, r6i.large (~$81/mo). FinOps' own suggestion, and the data supports it.</t>
        </is>
      </c>
    </row>
    <row r="29" ht="39" customHeight="1" s="23">
      <c r="A29" s="31" t="inlineStr">
        <is>
          <t>Prod</t>
        </is>
      </c>
      <c r="B29" s="31" t="inlineStr">
        <is>
          <t>usmg-prd-elements-batch-controller</t>
        </is>
      </c>
      <c r="C29" s="31" t="inlineStr">
        <is>
          <t>25, 28, 67, 25%</t>
        </is>
      </c>
      <c r="D29" s="31" t="inlineStr">
        <is>
          <t>15, 15, 16, 15%</t>
        </is>
      </c>
      <c r="E29" s="31" t="inlineStr">
        <is>
          <t>14, 15, 2,142, 25</t>
        </is>
      </c>
      <c r="F29" s="31" t="inlineStr">
        <is>
          <t>r6i.large</t>
        </is>
      </c>
      <c r="G29" s="31" t="inlineStr">
        <is>
          <t>50–56% (134% in one week)</t>
        </is>
      </c>
      <c r="H29" s="31" t="inlineStr">
        <is>
          <t>30–33%</t>
        </is>
      </c>
      <c r="I29" s="31" t="inlineStr">
        <is>
          <t>2,142 Mbps in one week only (274%); other weeks 14–25 Mbps</t>
        </is>
      </c>
      <c r="J29" s="33" t="inlineStr">
        <is>
          <t>⚠️ Team decision, r6i.large (~$94/mo). Normal weeks fit easily, but around Oct 5 it moved 2.1 Gbps. Ask: what ran then, is it monthly, and is it time-critical? If yes, keep r6i.xlarge.</t>
        </is>
      </c>
    </row>
    <row r="30" ht="39" customHeight="1" s="23">
      <c r="A30" s="31" t="inlineStr">
        <is>
          <t>Prod</t>
        </is>
      </c>
      <c r="B30" s="31" t="inlineStr">
        <is>
          <t>usmg-rel-facets-task-controller</t>
        </is>
      </c>
      <c r="C30" s="31" t="inlineStr">
        <is>
          <t>39, 61, 32, 45%</t>
        </is>
      </c>
      <c r="D30" s="31" t="inlineStr">
        <is>
          <t>26, 27, 24, 25%</t>
        </is>
      </c>
      <c r="E30" s="31" t="inlineStr">
        <is>
          <t>769, 93, 13, 65</t>
        </is>
      </c>
      <c r="F30" s="31" t="inlineStr">
        <is>
          <t>r6i.large</t>
        </is>
      </c>
      <c r="G30" s="31" t="inlineStr">
        <is>
          <t>64–123%</t>
        </is>
      </c>
      <c r="H30" s="31" t="inlineStr">
        <is>
          <t>47–53%</t>
        </is>
      </c>
      <c r="I30" s="31" t="inlineStr">
        <is>
          <t>769 Mbps in one week only (98%); other weeks 13–93 Mbps</t>
        </is>
      </c>
      <c r="J30" s="33" t="inlineStr">
        <is>
          <t>⚠️ Team decision, r6i.large (~$81/mo). Network peak was one week only, but CPU would reach 90% or more in 2 of 4 weeks, above the 90% prod limit. Ask: can it run slower at peak?</t>
        </is>
      </c>
    </row>
    <row r="32" ht="15" customHeight="1" s="23">
      <c r="A32" s="25" t="inlineStr">
        <is>
          <t>Weekly CPU peaks: highest 5-minute CPU on today's r6i.xlarge (4 vCPU) in each full week, Sep 21 to Oct 18, 2026. 'On that size' scales usage to 2 vCPU and that size's memory (16 GiB r6i.large, 8 GiB m7i-flex.large). For Keep rows, the size checked is r6i.large, the closest 2-vCPU option.</t>
        </is>
      </c>
    </row>
    <row r="33" ht="15" customHeight="1" s="23">
      <c r="A33" s="25" t="inlineStr">
        <is>
          <t>Network limits (sustained baseline): r6i.large about 0.78 Gbps, m7i-flex.large about 0.39 Gbps. 'In one week only' marks a peak more than 1.5x higher than every other week.</t>
        </is>
      </c>
    </row>
    <row r="34" ht="15" customHeight="1" s="23">
      <c r="A34" s="25" t="inlineStr">
        <is>
          <t>Weekly peaks are for the 4 full weeks Sep 21, Sep 28, Oct 5 and Oct 12, 2026, in that order, on today's r6i.xlarge. Memory = 'Memory % Committed Bytes In Use' (CloudWatch agent). Network = busier of in/out.</t>
        </is>
      </c>
    </row>
  </sheetData>
  <autoFilter ref="A1:J3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2" min="1" max="1"/>
    <col width="26" customWidth="1" style="22" min="2" max="2"/>
    <col width="38" customWidth="1" style="22" min="3" max="3"/>
    <col width="24" customWidth="1" style="22" min="4" max="4"/>
    <col width="28" customWidth="1" style="22" min="5" max="5"/>
    <col width="14" customWidth="1" style="22" min="6" max="6"/>
    <col width="18" customWidth="1" style="22" min="7" max="7"/>
    <col width="28" customWidth="1" style="22" min="8" max="8"/>
    <col width="16" customWidth="1" style="22" min="9" max="9"/>
  </cols>
  <sheetData>
    <row r="1" ht="39" customHeight="1" s="23">
      <c r="A1" s="26" t="inlineStr">
        <is>
          <t>Environment</t>
        </is>
      </c>
      <c r="B1" s="26" t="inlineStr">
        <is>
          <t>Account</t>
        </is>
      </c>
      <c r="C1" s="26" t="inlineStr">
        <is>
          <t>ASG</t>
        </is>
      </c>
      <c r="D1" s="26" t="inlineStr">
        <is>
          <t>Current instance type</t>
        </is>
      </c>
      <c r="E1" s="26" t="inlineStr">
        <is>
          <t>FinOps target</t>
        </is>
      </c>
      <c r="F1" s="26" t="inlineStr">
        <is>
          <t>FinOps claimed ($/mo)</t>
        </is>
      </c>
      <c r="G1" s="26" t="inlineStr">
        <is>
          <t>Decision</t>
        </is>
      </c>
      <c r="H1" s="26" t="inlineStr">
        <is>
          <t>Move to</t>
        </is>
      </c>
      <c r="I1" s="26" t="inlineStr">
        <is>
          <t>Our savings ($/mo, est.)</t>
        </is>
      </c>
    </row>
    <row r="2" ht="15" customHeight="1" s="23">
      <c r="A2" s="27" t="inlineStr">
        <is>
          <t>Dev</t>
        </is>
      </c>
      <c r="B2" s="27" t="inlineStr">
        <is>
          <t>usmg-dev (851725216779)</t>
        </is>
      </c>
      <c r="C2" s="27" t="inlineStr">
        <is>
          <t>usmg-cdv-facets-batch-controller</t>
        </is>
      </c>
      <c r="D2" s="27" t="inlineStr">
        <is>
          <t>r6i.xlarge (4 vCPU, 32 GiB)</t>
        </is>
      </c>
      <c r="E2" s="27" t="inlineStr">
        <is>
          <t>m7i-flex.large (2 vCPU, 8 GiB)</t>
        </is>
      </c>
      <c r="F2" s="28" t="n">
        <v>97.03</v>
      </c>
      <c r="G2" s="35" t="inlineStr">
        <is>
          <t>Approve</t>
        </is>
      </c>
      <c r="H2" s="27" t="inlineStr">
        <is>
          <t>m7i-flex.large (2 vCPU, 8 GiB)</t>
        </is>
      </c>
      <c r="I2" s="28" t="n">
        <v>97</v>
      </c>
    </row>
    <row r="3" ht="15" customHeight="1" s="23">
      <c r="A3" s="27" t="inlineStr">
        <is>
          <t>Dev</t>
        </is>
      </c>
      <c r="B3" s="27" t="inlineStr">
        <is>
          <t>usmg-dev (851725216779)</t>
        </is>
      </c>
      <c r="C3" s="27" t="inlineStr">
        <is>
          <t>usmg-cdv-elements-batch-controller</t>
        </is>
      </c>
      <c r="D3" s="27" t="inlineStr">
        <is>
          <t>r6i.xlarge (4 vCPU, 32 GiB)</t>
        </is>
      </c>
      <c r="E3" s="27" t="inlineStr">
        <is>
          <t>m7i-flex.large (2 vCPU, 8 GiB)</t>
        </is>
      </c>
      <c r="F3" s="28" t="n">
        <v>94.98</v>
      </c>
      <c r="G3" s="35" t="inlineStr">
        <is>
          <t>Approve</t>
        </is>
      </c>
      <c r="H3" s="27" t="inlineStr">
        <is>
          <t>m7i-flex.large (2 vCPU, 8 GiB)</t>
        </is>
      </c>
      <c r="I3" s="28" t="n">
        <v>95</v>
      </c>
    </row>
    <row r="4" ht="15" customHeight="1" s="23">
      <c r="A4" s="27" t="inlineStr">
        <is>
          <t>Dev</t>
        </is>
      </c>
      <c r="B4" s="27" t="inlineStr">
        <is>
          <t>usmg-dev (851725216779)</t>
        </is>
      </c>
      <c r="C4" s="27" t="inlineStr">
        <is>
          <t>usmg-dst-elements-batch-controller</t>
        </is>
      </c>
      <c r="D4" s="27" t="inlineStr">
        <is>
          <t>r6i.xlarge (4 vCPU, 32 GiB)</t>
        </is>
      </c>
      <c r="E4" s="27" t="inlineStr">
        <is>
          <t>m7i-flex.large (2 vCPU, 8 GiB)</t>
        </is>
      </c>
      <c r="F4" s="28" t="n">
        <v>94.39</v>
      </c>
      <c r="G4" s="35" t="inlineStr">
        <is>
          <t>Approve</t>
        </is>
      </c>
      <c r="H4" s="27" t="inlineStr">
        <is>
          <t>m7i-flex.large (2 vCPU, 8 GiB)</t>
        </is>
      </c>
      <c r="I4" s="28" t="n">
        <v>94</v>
      </c>
    </row>
    <row r="5" ht="15" customHeight="1" s="23">
      <c r="A5" s="27" t="inlineStr">
        <is>
          <t>Dev</t>
        </is>
      </c>
      <c r="B5" s="27" t="inlineStr">
        <is>
          <t>usmg-dev (851725216779)</t>
        </is>
      </c>
      <c r="C5" s="27" t="inlineStr">
        <is>
          <t>usmg-dev-elements-batch-controller</t>
        </is>
      </c>
      <c r="D5" s="27" t="inlineStr">
        <is>
          <t>r6i.xlarge (4 vCPU, 32 GiB)</t>
        </is>
      </c>
      <c r="E5" s="27" t="inlineStr">
        <is>
          <t>m7i-flex.large (2 vCPU, 8 GiB)</t>
        </is>
      </c>
      <c r="F5" s="28" t="n">
        <v>105.61</v>
      </c>
      <c r="G5" s="35" t="inlineStr">
        <is>
          <t>Approve</t>
        </is>
      </c>
      <c r="H5" s="27" t="inlineStr">
        <is>
          <t>r6i.large (2 vCPU, 16 GiB)</t>
        </is>
      </c>
      <c r="I5" s="28" t="n">
        <v>93</v>
      </c>
    </row>
    <row r="6" ht="15" customHeight="1" s="23">
      <c r="A6" s="27" t="inlineStr">
        <is>
          <t>Dev</t>
        </is>
      </c>
      <c r="B6" s="27" t="inlineStr">
        <is>
          <t>usmg-dev (851725216779)</t>
        </is>
      </c>
      <c r="C6" s="27" t="inlineStr">
        <is>
          <t>usmg-dev-elements-task-controller</t>
        </is>
      </c>
      <c r="D6" s="27" t="inlineStr">
        <is>
          <t>r6i.xlarge (4 vCPU, 32 GiB)</t>
        </is>
      </c>
      <c r="E6" s="27" t="inlineStr">
        <is>
          <t>m7i-flex.large (2 vCPU, 8 GiB)</t>
        </is>
      </c>
      <c r="F6" s="28" t="n">
        <v>105.61</v>
      </c>
      <c r="G6" s="35" t="inlineStr">
        <is>
          <t>Approve</t>
        </is>
      </c>
      <c r="H6" s="27" t="inlineStr">
        <is>
          <t>r6i.large (2 vCPU, 16 GiB)</t>
        </is>
      </c>
      <c r="I6" s="28" t="n">
        <v>93</v>
      </c>
    </row>
    <row r="7" ht="15" customHeight="1" s="23">
      <c r="A7" s="27" t="inlineStr">
        <is>
          <t>Dev</t>
        </is>
      </c>
      <c r="B7" s="27" t="inlineStr">
        <is>
          <t>usmg-dev (851725216779)</t>
        </is>
      </c>
      <c r="C7" s="27" t="inlineStr">
        <is>
          <t>usmg-cdv-elements-task-controller</t>
        </is>
      </c>
      <c r="D7" s="27" t="inlineStr">
        <is>
          <t>r6i.xlarge (4 vCPU, 32 GiB)</t>
        </is>
      </c>
      <c r="E7" s="27" t="inlineStr">
        <is>
          <t>m7i-flex.large (2 vCPU, 8 GiB)</t>
        </is>
      </c>
      <c r="F7" s="28" t="n">
        <v>103.85</v>
      </c>
      <c r="G7" s="35" t="inlineStr">
        <is>
          <t>Approve</t>
        </is>
      </c>
      <c r="H7" s="27" t="inlineStr">
        <is>
          <t>r6i.large (2 vCPU, 16 GiB)</t>
        </is>
      </c>
      <c r="I7" s="28" t="n">
        <v>91</v>
      </c>
    </row>
    <row r="8" ht="15" customHeight="1" s="23">
      <c r="A8" s="27" t="inlineStr">
        <is>
          <t>Dev</t>
        </is>
      </c>
      <c r="B8" s="27" t="inlineStr">
        <is>
          <t>usmg-dev (851725216779)</t>
        </is>
      </c>
      <c r="C8" s="27" t="inlineStr">
        <is>
          <t>usmg-dev-facets-task-controller</t>
        </is>
      </c>
      <c r="D8" s="27" t="inlineStr">
        <is>
          <t>r6i.xlarge (4 vCPU, 32 GiB)</t>
        </is>
      </c>
      <c r="E8" s="27" t="inlineStr">
        <is>
          <t>m7i-flex.large (2 vCPU, 8 GiB)</t>
        </is>
      </c>
      <c r="F8" s="28" t="n">
        <v>103.14</v>
      </c>
      <c r="G8" s="35" t="inlineStr">
        <is>
          <t>Approve</t>
        </is>
      </c>
      <c r="H8" s="27" t="inlineStr">
        <is>
          <t>r6i.large (2 vCPU, 16 GiB)</t>
        </is>
      </c>
      <c r="I8" s="28" t="n">
        <v>91</v>
      </c>
    </row>
    <row r="9" ht="15" customHeight="1" s="23">
      <c r="A9" s="27" t="inlineStr">
        <is>
          <t>Dev</t>
        </is>
      </c>
      <c r="B9" s="27" t="inlineStr">
        <is>
          <t>usmg-dev (851725216779)</t>
        </is>
      </c>
      <c r="C9" s="27" t="inlineStr">
        <is>
          <t>usmg-cdv-facets-task-controller</t>
        </is>
      </c>
      <c r="D9" s="27" t="inlineStr">
        <is>
          <t>r6i.xlarge (4 vCPU, 32 GiB)</t>
        </is>
      </c>
      <c r="E9" s="27" t="inlineStr">
        <is>
          <t>m7i-flex.large (2 vCPU, 8 GiB)</t>
        </is>
      </c>
      <c r="F9" s="28" t="n">
        <v>88.31</v>
      </c>
      <c r="G9" s="35" t="inlineStr">
        <is>
          <t>Approve</t>
        </is>
      </c>
      <c r="H9" s="27" t="inlineStr">
        <is>
          <t>r6i.large (2 vCPU, 16 GiB)</t>
        </is>
      </c>
      <c r="I9" s="28" t="n">
        <v>78</v>
      </c>
    </row>
    <row r="10" ht="15" customHeight="1" s="23">
      <c r="A10" s="27" t="inlineStr">
        <is>
          <t>Dev</t>
        </is>
      </c>
      <c r="B10" s="27" t="inlineStr">
        <is>
          <t>usmg-dev (851725216779)</t>
        </is>
      </c>
      <c r="C10" s="27" t="inlineStr">
        <is>
          <t>usmg-dst-elements-task-controller</t>
        </is>
      </c>
      <c r="D10" s="27" t="inlineStr">
        <is>
          <t>r6i.xlarge (4 vCPU, 32 GiB)</t>
        </is>
      </c>
      <c r="E10" s="27" t="inlineStr">
        <is>
          <t>r6i.large (2 vCPU, 16 GiB)</t>
        </is>
      </c>
      <c r="F10" s="28" t="n">
        <v>80.59</v>
      </c>
      <c r="G10" s="36" t="inlineStr">
        <is>
          <t>Team decision</t>
        </is>
      </c>
      <c r="H10" s="27" t="inlineStr">
        <is>
          <t>r6i.large (2 vCPU, 16 GiB)</t>
        </is>
      </c>
      <c r="I10" s="28" t="n">
        <v>81</v>
      </c>
    </row>
    <row r="11" ht="15" customHeight="1" s="23">
      <c r="A11" s="27" t="inlineStr">
        <is>
          <t>Dev</t>
        </is>
      </c>
      <c r="B11" s="27" t="inlineStr">
        <is>
          <t>usmg-dev (851725216779)</t>
        </is>
      </c>
      <c r="C11" s="27" t="inlineStr">
        <is>
          <t>usmg-dev-facets-batch-controller</t>
        </is>
      </c>
      <c r="D11" s="27" t="inlineStr">
        <is>
          <t>r6i.xlarge (4 vCPU, 32 GiB)</t>
        </is>
      </c>
      <c r="E11" s="27" t="inlineStr">
        <is>
          <t>r8i-flex.large (2 vCPU, 16 GiB)</t>
        </is>
      </c>
      <c r="F11" s="28" t="n">
        <v>72.36</v>
      </c>
      <c r="G11" s="37" t="inlineStr">
        <is>
          <t>Keep r6i.xlarge</t>
        </is>
      </c>
      <c r="H11" s="27" t="inlineStr">
        <is>
          <t>r6i.xlarge (no change)</t>
        </is>
      </c>
      <c r="I11" s="28" t="n">
        <v>0</v>
      </c>
    </row>
    <row r="12" ht="15" customHeight="1" s="23">
      <c r="A12" s="27" t="inlineStr">
        <is>
          <t>Dev</t>
        </is>
      </c>
      <c r="B12" s="27" t="inlineStr">
        <is>
          <t>usmg-dev (851725216779)</t>
        </is>
      </c>
      <c r="C12" s="27" t="inlineStr">
        <is>
          <t>usmg-dst-facets-batch-controller</t>
        </is>
      </c>
      <c r="D12" s="27" t="inlineStr">
        <is>
          <t>r6i.xlarge (4 vCPU, 32 GiB)</t>
        </is>
      </c>
      <c r="E12" s="27" t="inlineStr">
        <is>
          <t>m7i-flex.large (2 vCPU, 8 GiB)</t>
        </is>
      </c>
      <c r="F12" s="28" t="n">
        <v>103.4</v>
      </c>
      <c r="G12" s="37" t="inlineStr">
        <is>
          <t>Keep r6i.xlarge</t>
        </is>
      </c>
      <c r="H12" s="27" t="inlineStr">
        <is>
          <t>r6i.xlarge (no change)</t>
        </is>
      </c>
      <c r="I12" s="28" t="n">
        <v>0</v>
      </c>
    </row>
    <row r="13" ht="15" customHeight="1" s="23">
      <c r="A13" s="27" t="inlineStr">
        <is>
          <t>Test</t>
        </is>
      </c>
      <c r="B13" s="27" t="inlineStr">
        <is>
          <t>usmg-test (84828583690)</t>
        </is>
      </c>
      <c r="C13" s="27" t="inlineStr">
        <is>
          <t>usmg-pvs-elements-task-controller</t>
        </is>
      </c>
      <c r="D13" s="27" t="inlineStr">
        <is>
          <t>r6i.xlarge (4 vCPU, 32 GiB)</t>
        </is>
      </c>
      <c r="E13" s="27" t="inlineStr">
        <is>
          <t>m7i-flex.large (2 vCPU, 8 GiB)</t>
        </is>
      </c>
      <c r="F13" s="28" t="n">
        <v>81.06999999999999</v>
      </c>
      <c r="G13" s="35" t="inlineStr">
        <is>
          <t>Approve</t>
        </is>
      </c>
      <c r="H13" s="27" t="inlineStr">
        <is>
          <t>r6i.large (2 vCPU, 16 GiB)</t>
        </is>
      </c>
      <c r="I13" s="28" t="n">
        <v>71</v>
      </c>
    </row>
    <row r="14" ht="15" customHeight="1" s="23">
      <c r="A14" s="27" t="inlineStr">
        <is>
          <t>Test</t>
        </is>
      </c>
      <c r="B14" s="27" t="inlineStr">
        <is>
          <t>usmg-test (84828583690)</t>
        </is>
      </c>
      <c r="C14" s="27" t="inlineStr">
        <is>
          <t>usmg-pvs-elements-batch-controller</t>
        </is>
      </c>
      <c r="D14" s="27" t="inlineStr">
        <is>
          <t>r6i.xlarge (4 vCPU, 32 GiB)</t>
        </is>
      </c>
      <c r="E14" s="27" t="inlineStr">
        <is>
          <t>m7i-flex.large (2 vCPU, 8 GiB)</t>
        </is>
      </c>
      <c r="F14" s="28" t="n">
        <v>77.69</v>
      </c>
      <c r="G14" s="35" t="inlineStr">
        <is>
          <t>Approve</t>
        </is>
      </c>
      <c r="H14" s="27" t="inlineStr">
        <is>
          <t>r6i.large (2 vCPU, 16 GiB)</t>
        </is>
      </c>
      <c r="I14" s="28" t="n">
        <v>68</v>
      </c>
    </row>
    <row r="15" ht="15" customHeight="1" s="23">
      <c r="A15" s="27" t="inlineStr">
        <is>
          <t>Test</t>
        </is>
      </c>
      <c r="B15" s="27" t="inlineStr">
        <is>
          <t>usmg-test (84828583690)</t>
        </is>
      </c>
      <c r="C15" s="27" t="inlineStr">
        <is>
          <t>usmg-int-elements-task-controller</t>
        </is>
      </c>
      <c r="D15" s="27" t="inlineStr">
        <is>
          <t>r6i.xlarge (4 vCPU, 32 GiB)</t>
        </is>
      </c>
      <c r="E15" s="27" t="inlineStr">
        <is>
          <t>m7i-flex.large (2 vCPU, 8 GiB)</t>
        </is>
      </c>
      <c r="F15" s="28" t="n">
        <v>73.03</v>
      </c>
      <c r="G15" s="35" t="inlineStr">
        <is>
          <t>Approve</t>
        </is>
      </c>
      <c r="H15" s="27" t="inlineStr">
        <is>
          <t>r6i.large (2 vCPU, 16 GiB)</t>
        </is>
      </c>
      <c r="I15" s="28" t="n">
        <v>64</v>
      </c>
    </row>
    <row r="16" ht="15" customHeight="1" s="23">
      <c r="A16" s="27" t="inlineStr">
        <is>
          <t>Test</t>
        </is>
      </c>
      <c r="B16" s="27" t="inlineStr">
        <is>
          <t>usmg-test (84828583690)</t>
        </is>
      </c>
      <c r="C16" s="27" t="inlineStr">
        <is>
          <t>usmg-int-elements-batch-controller</t>
        </is>
      </c>
      <c r="D16" s="27" t="inlineStr">
        <is>
          <t>r6i.xlarge (4 vCPU, 32 GiB)</t>
        </is>
      </c>
      <c r="E16" s="27" t="inlineStr">
        <is>
          <t>m7i-flex.large (2 vCPU, 8 GiB)</t>
        </is>
      </c>
      <c r="F16" s="28" t="n">
        <v>64.75</v>
      </c>
      <c r="G16" s="36" t="inlineStr">
        <is>
          <t>Team decision</t>
        </is>
      </c>
      <c r="H16" s="27" t="inlineStr">
        <is>
          <t>r6i.large (2 vCPU, 16 GiB)</t>
        </is>
      </c>
      <c r="I16" s="28" t="n">
        <v>57</v>
      </c>
    </row>
    <row r="17" ht="15" customHeight="1" s="23">
      <c r="A17" s="27" t="inlineStr">
        <is>
          <t>Test</t>
        </is>
      </c>
      <c r="B17" s="27" t="inlineStr">
        <is>
          <t>usmg-test (84828583690)</t>
        </is>
      </c>
      <c r="C17" s="27" t="inlineStr">
        <is>
          <t>usmg-pvs-facets-task-controller</t>
        </is>
      </c>
      <c r="D17" s="27" t="inlineStr">
        <is>
          <t>r6i.xlarge (4 vCPU, 32 GiB)</t>
        </is>
      </c>
      <c r="E17" s="27" t="inlineStr">
        <is>
          <t>r6i.large (2 vCPU, 16 GiB)</t>
        </is>
      </c>
      <c r="F17" s="28" t="n">
        <v>48.07</v>
      </c>
      <c r="G17" s="36" t="inlineStr">
        <is>
          <t>Team decision</t>
        </is>
      </c>
      <c r="H17" s="27" t="inlineStr">
        <is>
          <t>r6i.large (2 vCPU, 16 GiB)</t>
        </is>
      </c>
      <c r="I17" s="28" t="n">
        <v>48</v>
      </c>
    </row>
    <row r="18" ht="15" customHeight="1" s="23">
      <c r="A18" s="27" t="inlineStr">
        <is>
          <t>Test</t>
        </is>
      </c>
      <c r="B18" s="27" t="inlineStr">
        <is>
          <t>usmg-test (84828583690)</t>
        </is>
      </c>
      <c r="C18" s="27" t="inlineStr">
        <is>
          <t>usmg-pvs-facets-batch-controller</t>
        </is>
      </c>
      <c r="D18" s="27" t="inlineStr">
        <is>
          <t>r6i.xlarge (4 vCPU, 32 GiB)</t>
        </is>
      </c>
      <c r="E18" s="27" t="inlineStr">
        <is>
          <t>r8i-flex.large (2 vCPU, 16 GiB)</t>
        </is>
      </c>
      <c r="F18" s="28" t="n">
        <v>56.4</v>
      </c>
      <c r="G18" s="37" t="inlineStr">
        <is>
          <t>Keep r6i.xlarge</t>
        </is>
      </c>
      <c r="H18" s="27" t="inlineStr">
        <is>
          <t>r6i.xlarge (no change)</t>
        </is>
      </c>
      <c r="I18" s="28" t="n">
        <v>0</v>
      </c>
    </row>
    <row r="19" ht="15" customHeight="1" s="23">
      <c r="A19" s="27" t="inlineStr">
        <is>
          <t>Test</t>
        </is>
      </c>
      <c r="B19" s="27" t="inlineStr">
        <is>
          <t>usmg-test (84828583690)</t>
        </is>
      </c>
      <c r="C19" s="27" t="inlineStr">
        <is>
          <t>usmg-int-facets-task-controller</t>
        </is>
      </c>
      <c r="D19" s="27" t="inlineStr">
        <is>
          <t>r6i.xlarge (4 vCPU, 32 GiB)</t>
        </is>
      </c>
      <c r="E19" s="27" t="inlineStr">
        <is>
          <t>m7i-flex.large (2 vCPU, 8 GiB)</t>
        </is>
      </c>
      <c r="F19" s="28" t="n">
        <v>61.35</v>
      </c>
      <c r="G19" s="37" t="inlineStr">
        <is>
          <t>Keep r6i.xlarge</t>
        </is>
      </c>
      <c r="H19" s="27" t="inlineStr">
        <is>
          <t>r6i.xlarge (no change)</t>
        </is>
      </c>
      <c r="I19" s="28" t="n">
        <v>0</v>
      </c>
    </row>
    <row r="20" ht="15" customHeight="1" s="23">
      <c r="A20" s="27" t="inlineStr">
        <is>
          <t>Test</t>
        </is>
      </c>
      <c r="B20" s="27" t="inlineStr">
        <is>
          <t>usmg-test (84828583690)</t>
        </is>
      </c>
      <c r="C20" s="27" t="inlineStr">
        <is>
          <t>usmg-int-facets-batch-controller</t>
        </is>
      </c>
      <c r="D20" s="27" t="inlineStr">
        <is>
          <t>r6i.xlarge (4 vCPU, 32 GiB)</t>
        </is>
      </c>
      <c r="E20" s="27" t="inlineStr">
        <is>
          <t>m8i-flex.large (2 vCPU, 8 GiB)</t>
        </is>
      </c>
      <c r="F20" s="28" t="n">
        <v>76.93000000000001</v>
      </c>
      <c r="G20" s="37" t="inlineStr">
        <is>
          <t>Keep r6i.xlarge</t>
        </is>
      </c>
      <c r="H20" s="27" t="inlineStr">
        <is>
          <t>r6i.xlarge (no change)</t>
        </is>
      </c>
      <c r="I20" s="28" t="n">
        <v>0</v>
      </c>
    </row>
    <row r="21" ht="15" customHeight="1" s="23">
      <c r="A21" s="27" t="inlineStr">
        <is>
          <t>Prod</t>
        </is>
      </c>
      <c r="B21" s="27" t="inlineStr">
        <is>
          <t>usmg-prod (971422678837)</t>
        </is>
      </c>
      <c r="C21" s="27" t="inlineStr">
        <is>
          <t>usmg-pfx-elements-batch-controller</t>
        </is>
      </c>
      <c r="D21" s="27" t="inlineStr">
        <is>
          <t>r6i.xlarge (4 vCPU, 32 GiB)</t>
        </is>
      </c>
      <c r="E21" s="27" t="inlineStr">
        <is>
          <t>c7i-flex.large (2 vCPU, 4 GiB)</t>
        </is>
      </c>
      <c r="F21" s="28" t="n">
        <v>114.47</v>
      </c>
      <c r="G21" s="35" t="inlineStr">
        <is>
          <t>Approve</t>
        </is>
      </c>
      <c r="H21" s="27" t="inlineStr">
        <is>
          <t>m7i-flex.large (2 vCPU, 8 GiB)</t>
        </is>
      </c>
      <c r="I21" s="28" t="n">
        <v>110</v>
      </c>
    </row>
    <row r="22" ht="15" customHeight="1" s="23">
      <c r="A22" s="27" t="inlineStr">
        <is>
          <t>Prod</t>
        </is>
      </c>
      <c r="B22" s="27" t="inlineStr">
        <is>
          <t>usmg-prod (971422678837)</t>
        </is>
      </c>
      <c r="C22" s="27" t="inlineStr">
        <is>
          <t>usmg-pfx-facets-batch-controller</t>
        </is>
      </c>
      <c r="D22" s="27" t="inlineStr">
        <is>
          <t>r6i.xlarge (4 vCPU, 32 GiB)</t>
        </is>
      </c>
      <c r="E22" s="27" t="inlineStr">
        <is>
          <t>m7i-flex.large (2 vCPU, 8 GiB)</t>
        </is>
      </c>
      <c r="F22" s="28" t="n">
        <v>105.95</v>
      </c>
      <c r="G22" s="35" t="inlineStr">
        <is>
          <t>Approve</t>
        </is>
      </c>
      <c r="H22" s="27" t="inlineStr">
        <is>
          <t>m7i-flex.large (2 vCPU, 8 GiB)</t>
        </is>
      </c>
      <c r="I22" s="28" t="n">
        <v>106</v>
      </c>
    </row>
    <row r="23" ht="15" customHeight="1" s="23">
      <c r="A23" s="27" t="inlineStr">
        <is>
          <t>Prod</t>
        </is>
      </c>
      <c r="B23" s="27" t="inlineStr">
        <is>
          <t>usmg-prod (971422678837)</t>
        </is>
      </c>
      <c r="C23" s="27" t="inlineStr">
        <is>
          <t>usmg-pfx-elements-task-controller</t>
        </is>
      </c>
      <c r="D23" s="27" t="inlineStr">
        <is>
          <t>r6i.xlarge (4 vCPU, 32 GiB)</t>
        </is>
      </c>
      <c r="E23" s="27" t="inlineStr">
        <is>
          <t>m7i-flex.large (2 vCPU, 8 GiB)</t>
        </is>
      </c>
      <c r="F23" s="28" t="n">
        <v>105.22</v>
      </c>
      <c r="G23" s="35" t="inlineStr">
        <is>
          <t>Approve</t>
        </is>
      </c>
      <c r="H23" s="27" t="inlineStr">
        <is>
          <t>m7i-flex.large (2 vCPU, 8 GiB)</t>
        </is>
      </c>
      <c r="I23" s="28" t="n">
        <v>105</v>
      </c>
    </row>
    <row r="24" ht="15" customHeight="1" s="23">
      <c r="A24" s="27" t="inlineStr">
        <is>
          <t>Prod</t>
        </is>
      </c>
      <c r="B24" s="27" t="inlineStr">
        <is>
          <t>usmg-prod (971422678837)</t>
        </is>
      </c>
      <c r="C24" s="27" t="inlineStr">
        <is>
          <t>usmg-rel-elements-batch-controller</t>
        </is>
      </c>
      <c r="D24" s="27" t="inlineStr">
        <is>
          <t>r6i.xlarge (4 vCPU, 32 GiB)</t>
        </is>
      </c>
      <c r="E24" s="27" t="inlineStr">
        <is>
          <t>m7i-flex.large (2 vCPU, 8 GiB)</t>
        </is>
      </c>
      <c r="F24" s="28" t="n">
        <v>106.38</v>
      </c>
      <c r="G24" s="35" t="inlineStr">
        <is>
          <t>Approve</t>
        </is>
      </c>
      <c r="H24" s="27" t="inlineStr">
        <is>
          <t>r6i.large (2 vCPU, 16 GiB)</t>
        </is>
      </c>
      <c r="I24" s="28" t="n">
        <v>94</v>
      </c>
    </row>
    <row r="25" ht="15" customHeight="1" s="23">
      <c r="A25" s="27" t="inlineStr">
        <is>
          <t>Prod</t>
        </is>
      </c>
      <c r="B25" s="27" t="inlineStr">
        <is>
          <t>usmg-prod (971422678837)</t>
        </is>
      </c>
      <c r="C25" s="27" t="inlineStr">
        <is>
          <t>usmg-rel-elements-task-controller</t>
        </is>
      </c>
      <c r="D25" s="27" t="inlineStr">
        <is>
          <t>r6i.xlarge (4 vCPU, 32 GiB)</t>
        </is>
      </c>
      <c r="E25" s="27" t="inlineStr">
        <is>
          <t>m7i-flex.large (2 vCPU, 8 GiB)</t>
        </is>
      </c>
      <c r="F25" s="28" t="n">
        <v>105.73</v>
      </c>
      <c r="G25" s="35" t="inlineStr">
        <is>
          <t>Approve</t>
        </is>
      </c>
      <c r="H25" s="27" t="inlineStr">
        <is>
          <t>r6i.large (2 vCPU, 16 GiB)</t>
        </is>
      </c>
      <c r="I25" s="28" t="n">
        <v>93</v>
      </c>
    </row>
    <row r="26" ht="15" customHeight="1" s="23">
      <c r="A26" s="27" t="inlineStr">
        <is>
          <t>Prod</t>
        </is>
      </c>
      <c r="B26" s="27" t="inlineStr">
        <is>
          <t>usmg-prod (971422678837)</t>
        </is>
      </c>
      <c r="C26" s="27" t="inlineStr">
        <is>
          <t>usmg-pfx-facets-task-controller</t>
        </is>
      </c>
      <c r="D26" s="27" t="inlineStr">
        <is>
          <t>r6i.xlarge (4 vCPU, 32 GiB)</t>
        </is>
      </c>
      <c r="E26" s="27" t="inlineStr">
        <is>
          <t>m7i-flex.large (2 vCPU, 8 GiB)</t>
        </is>
      </c>
      <c r="F26" s="28" t="n">
        <v>105.99</v>
      </c>
      <c r="G26" s="35" t="inlineStr">
        <is>
          <t>Approve</t>
        </is>
      </c>
      <c r="H26" s="27" t="inlineStr">
        <is>
          <t>r6i.large (2 vCPU, 16 GiB)</t>
        </is>
      </c>
      <c r="I26" s="28" t="n">
        <v>93</v>
      </c>
    </row>
    <row r="27" ht="15" customHeight="1" s="23">
      <c r="A27" s="27" t="inlineStr">
        <is>
          <t>Prod</t>
        </is>
      </c>
      <c r="B27" s="27" t="inlineStr">
        <is>
          <t>usmg-prod (971422678837)</t>
        </is>
      </c>
      <c r="C27" s="27" t="inlineStr">
        <is>
          <t>usmg-prd-elements-task-controller</t>
        </is>
      </c>
      <c r="D27" s="27" t="inlineStr">
        <is>
          <t>r6i.xlarge (4 vCPU, 32 GiB)</t>
        </is>
      </c>
      <c r="E27" s="27" t="inlineStr">
        <is>
          <t>m7i-flex.large (2 vCPU, 8 GiB)</t>
        </is>
      </c>
      <c r="F27" s="28" t="n">
        <v>106.25</v>
      </c>
      <c r="G27" s="35" t="inlineStr">
        <is>
          <t>Approve</t>
        </is>
      </c>
      <c r="H27" s="27" t="inlineStr">
        <is>
          <t>r6i.large (2 vCPU, 16 GiB)</t>
        </is>
      </c>
      <c r="I27" s="28" t="n">
        <v>93</v>
      </c>
    </row>
    <row r="28" ht="15" customHeight="1" s="23">
      <c r="A28" s="27" t="inlineStr">
        <is>
          <t>Prod</t>
        </is>
      </c>
      <c r="B28" s="27" t="inlineStr">
        <is>
          <t>usmg-prod (971422678837)</t>
        </is>
      </c>
      <c r="C28" s="27" t="inlineStr">
        <is>
          <t>usmg-prd-facets-task-controller</t>
        </is>
      </c>
      <c r="D28" s="27" t="inlineStr">
        <is>
          <t>r6i.xlarge (4 vCPU, 32 GiB)</t>
        </is>
      </c>
      <c r="E28" s="27" t="inlineStr">
        <is>
          <t>r6i.large (2 vCPU, 16 GiB)</t>
        </is>
      </c>
      <c r="F28" s="28" t="n">
        <v>80.86</v>
      </c>
      <c r="G28" s="35" t="inlineStr">
        <is>
          <t>Approve</t>
        </is>
      </c>
      <c r="H28" s="27" t="inlineStr">
        <is>
          <t>r6i.large (2 vCPU, 16 GiB)</t>
        </is>
      </c>
      <c r="I28" s="28" t="n">
        <v>81</v>
      </c>
    </row>
    <row r="29" ht="15" customHeight="1" s="23">
      <c r="A29" s="27" t="inlineStr">
        <is>
          <t>Prod</t>
        </is>
      </c>
      <c r="B29" s="27" t="inlineStr">
        <is>
          <t>usmg-prod (971422678837)</t>
        </is>
      </c>
      <c r="C29" s="27" t="inlineStr">
        <is>
          <t>usmg-prd-elements-batch-controller</t>
        </is>
      </c>
      <c r="D29" s="27" t="inlineStr">
        <is>
          <t>r6i.xlarge (4 vCPU, 32 GiB)</t>
        </is>
      </c>
      <c r="E29" s="27" t="inlineStr">
        <is>
          <t>m7i-flex.large (2 vCPU, 8 GiB)</t>
        </is>
      </c>
      <c r="F29" s="28" t="n">
        <v>106.58</v>
      </c>
      <c r="G29" s="36" t="inlineStr">
        <is>
          <t>Team decision</t>
        </is>
      </c>
      <c r="H29" s="27" t="inlineStr">
        <is>
          <t>r6i.large (2 vCPU, 16 GiB)</t>
        </is>
      </c>
      <c r="I29" s="28" t="n">
        <v>94</v>
      </c>
    </row>
    <row r="30" ht="15" customHeight="1" s="23">
      <c r="A30" s="27" t="inlineStr">
        <is>
          <t>Prod</t>
        </is>
      </c>
      <c r="B30" s="27" t="inlineStr">
        <is>
          <t>usmg-prod (971422678837)</t>
        </is>
      </c>
      <c r="C30" s="27" t="inlineStr">
        <is>
          <t>usmg-rel-facets-task-controller</t>
        </is>
      </c>
      <c r="D30" s="27" t="inlineStr">
        <is>
          <t>r6i.xlarge (4 vCPU, 32 GiB)</t>
        </is>
      </c>
      <c r="E30" s="27" t="inlineStr">
        <is>
          <t>r6i.large (2 vCPU, 16 GiB)</t>
        </is>
      </c>
      <c r="F30" s="28" t="n">
        <v>80.98</v>
      </c>
      <c r="G30" s="36" t="inlineStr">
        <is>
          <t>Team decision</t>
        </is>
      </c>
      <c r="H30" s="27" t="inlineStr">
        <is>
          <t>r6i.large (2 vCPU, 16 GiB)</t>
        </is>
      </c>
      <c r="I30" s="28" t="n">
        <v>81</v>
      </c>
    </row>
    <row r="31" ht="15" customHeight="1" s="23">
      <c r="A31" s="38" t="inlineStr">
        <is>
          <t>Total</t>
        </is>
      </c>
      <c r="F31" s="39">
        <f>SUM(F2:F30)</f>
        <v/>
      </c>
      <c r="I31" s="39">
        <f>SUM(I2:I30)</f>
        <v/>
      </c>
    </row>
    <row r="33" ht="15" customHeight="1" s="23">
      <c r="A33" s="25" t="inlineStr">
        <is>
          <t>Savings are estimates per ASG per month. Where 'Move to' matches the FinOps target they are FinOps' own figures; r6i.large instead of m7i-flex.large is about 88% of the FinOps figure, and m7i-flex.large instead of c7i-flex.large about 96%, based on approximate Windows on-demand list prices in us-east-1. FinOps to confirm.</t>
        </is>
      </c>
    </row>
  </sheetData>
  <autoFilter ref="A1:I3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22" min="1" max="1"/>
    <col width="12" customWidth="1" style="22" min="2" max="6"/>
    <col width="11" customWidth="1" style="22" min="7" max="7"/>
    <col width="12" customWidth="1" style="22" min="8" max="8"/>
    <col width="16" customWidth="1" style="22" min="9" max="9"/>
    <col width="60" customWidth="1" style="22" min="10" max="10"/>
    <col width="16" customWidth="1" style="22" min="11" max="12"/>
    <col width="13" customWidth="1" style="22" min="13" max="13"/>
  </cols>
  <sheetData>
    <row r="1" ht="39" customHeight="1" s="23">
      <c r="A1" s="26" t="inlineStr">
        <is>
          <t>ASG</t>
        </is>
      </c>
      <c r="B1" s="26" t="inlineStr">
        <is>
          <t>Environment</t>
        </is>
      </c>
      <c r="C1" s="26" t="inlineStr">
        <is>
          <t>CPU peak wk Sep 21 (%)</t>
        </is>
      </c>
      <c r="D1" s="26" t="inlineStr">
        <is>
          <t>CPU peak wk Sep 28 (%)</t>
        </is>
      </c>
      <c r="E1" s="26" t="inlineStr">
        <is>
          <t>CPU peak wk Oct 5 (%)</t>
        </is>
      </c>
      <c r="F1" s="26" t="inlineStr">
        <is>
          <t>CPU peak wk Oct 12 (%)</t>
        </is>
      </c>
      <c r="G1" s="26" t="inlineStr">
        <is>
          <t>Highest peak (%)</t>
        </is>
      </c>
      <c r="H1" s="26" t="inlineStr">
        <is>
          <t>Highest peak on 2 vCPU (%)</t>
        </is>
      </c>
      <c r="I1" s="26" t="inlineStr">
        <is>
          <t>Pattern</t>
        </is>
      </c>
      <c r="J1" s="26" t="inlineStr">
        <is>
          <t>What the weeks show</t>
        </is>
      </c>
      <c r="K1" s="26" t="inlineStr">
        <is>
          <t>Decision</t>
        </is>
      </c>
      <c r="L1" s="26" t="inlineStr">
        <is>
          <t>Move to</t>
        </is>
      </c>
      <c r="M1" s="26" t="inlineStr">
        <is>
          <t>Savings ($/mo, est.)</t>
        </is>
      </c>
    </row>
    <row r="2" ht="15" customHeight="1" s="23">
      <c r="A2" s="27" t="inlineStr">
        <is>
          <t>usmg-dev-elements-task-controller</t>
        </is>
      </c>
      <c r="B2" s="27" t="inlineStr">
        <is>
          <t>Dev</t>
        </is>
      </c>
      <c r="C2" s="40" t="n">
        <v>29.9</v>
      </c>
      <c r="D2" s="40" t="n">
        <v>72.90000000000001</v>
      </c>
      <c r="E2" s="40" t="n">
        <v>28.1</v>
      </c>
      <c r="F2" s="40" t="n">
        <v>27.4</v>
      </c>
      <c r="G2" s="40">
        <f>MAX(C2:F2)</f>
        <v/>
      </c>
      <c r="H2" s="40">
        <f>G2*4/2</f>
        <v/>
      </c>
      <c r="I2" s="27" t="inlineStr">
        <is>
          <t>One-off</t>
        </is>
      </c>
      <c r="J2" s="31" t="inlineStr">
        <is>
          <t>73% peak in one week only; other weeks 27-30%</t>
        </is>
      </c>
      <c r="K2" s="35" t="inlineStr">
        <is>
          <t>Approve</t>
        </is>
      </c>
      <c r="L2" s="27" t="inlineStr">
        <is>
          <t>r6i.large</t>
        </is>
      </c>
      <c r="M2" s="41" t="n">
        <v>93</v>
      </c>
    </row>
    <row r="3" ht="15" customHeight="1" s="23">
      <c r="A3" s="27" t="inlineStr">
        <is>
          <t>usmg-dst-elements-batch-controller</t>
        </is>
      </c>
      <c r="B3" s="27" t="inlineStr">
        <is>
          <t>Dev</t>
        </is>
      </c>
      <c r="C3" s="40" t="n">
        <v>27</v>
      </c>
      <c r="D3" s="40" t="n">
        <v>22.9</v>
      </c>
      <c r="E3" s="40" t="n">
        <v>19.1</v>
      </c>
      <c r="F3" s="40" t="n">
        <v>71.09999999999999</v>
      </c>
      <c r="G3" s="40">
        <f>MAX(C3:F3)</f>
        <v/>
      </c>
      <c r="H3" s="40">
        <f>G3*4/2</f>
        <v/>
      </c>
      <c r="I3" s="27" t="inlineStr">
        <is>
          <t>One-off</t>
        </is>
      </c>
      <c r="J3" s="31" t="inlineStr">
        <is>
          <t>71% peak in one week only; other weeks 19-27%</t>
        </is>
      </c>
      <c r="K3" s="35" t="inlineStr">
        <is>
          <t>Approve</t>
        </is>
      </c>
      <c r="L3" s="27" t="inlineStr">
        <is>
          <t>m7i-flex.large</t>
        </is>
      </c>
      <c r="M3" s="41" t="n">
        <v>94</v>
      </c>
    </row>
    <row r="4" ht="26.25" customHeight="1" s="23">
      <c r="A4" s="27" t="inlineStr">
        <is>
          <t>usmg-dev-facets-task-controller</t>
        </is>
      </c>
      <c r="B4" s="27" t="inlineStr">
        <is>
          <t>Dev</t>
        </is>
      </c>
      <c r="C4" s="40" t="n">
        <v>58.1</v>
      </c>
      <c r="D4" s="40" t="n">
        <v>34.3</v>
      </c>
      <c r="E4" s="40" t="n">
        <v>30.9</v>
      </c>
      <c r="F4" s="40" t="n">
        <v>33.7</v>
      </c>
      <c r="G4" s="40">
        <f>MAX(C4:F4)</f>
        <v/>
      </c>
      <c r="H4" s="40">
        <f>G4*4/2</f>
        <v/>
      </c>
      <c r="I4" s="27" t="inlineStr">
        <is>
          <t>One-off</t>
        </is>
      </c>
      <c r="J4" s="31" t="inlineStr">
        <is>
          <t>CPU (58%) and network (373 Mbps) peaks both in one week only; other weeks 31-34%</t>
        </is>
      </c>
      <c r="K4" s="35" t="inlineStr">
        <is>
          <t>Approve</t>
        </is>
      </c>
      <c r="L4" s="27" t="inlineStr">
        <is>
          <t>r6i.large</t>
        </is>
      </c>
      <c r="M4" s="41" t="n">
        <v>91</v>
      </c>
    </row>
    <row r="5" ht="26.25" customHeight="1" s="23">
      <c r="A5" s="27" t="inlineStr">
        <is>
          <t>usmg-rel-elements-batch-controller</t>
        </is>
      </c>
      <c r="B5" s="27" t="inlineStr">
        <is>
          <t>Prod</t>
        </is>
      </c>
      <c r="C5" s="40" t="n">
        <v>20.7</v>
      </c>
      <c r="D5" s="40" t="n">
        <v>63.4</v>
      </c>
      <c r="E5" s="40" t="n">
        <v>24.4</v>
      </c>
      <c r="F5" s="40" t="n">
        <v>29.2</v>
      </c>
      <c r="G5" s="40">
        <f>MAX(C5:F5)</f>
        <v/>
      </c>
      <c r="H5" s="40">
        <f>G5*4/2</f>
        <v/>
      </c>
      <c r="I5" s="27" t="inlineStr">
        <is>
          <t>One-off</t>
        </is>
      </c>
      <c r="J5" s="31" t="inlineStr">
        <is>
          <t>CPU (63%) and network (225 Mbps) peaks both in one week only; other weeks 21-29%</t>
        </is>
      </c>
      <c r="K5" s="35" t="inlineStr">
        <is>
          <t>Approve</t>
        </is>
      </c>
      <c r="L5" s="27" t="inlineStr">
        <is>
          <t>r6i.large</t>
        </is>
      </c>
      <c r="M5" s="41" t="n">
        <v>94</v>
      </c>
    </row>
    <row r="6" ht="26.25" customHeight="1" s="23">
      <c r="A6" s="27" t="inlineStr">
        <is>
          <t>usmg-pfx-facets-batch-controller</t>
        </is>
      </c>
      <c r="B6" s="27" t="inlineStr">
        <is>
          <t>Prod</t>
        </is>
      </c>
      <c r="C6" s="40" t="n">
        <v>36.3</v>
      </c>
      <c r="D6" s="40" t="n">
        <v>43.9</v>
      </c>
      <c r="E6" s="40" t="n">
        <v>41.6</v>
      </c>
      <c r="F6" s="40" t="n">
        <v>46.8</v>
      </c>
      <c r="G6" s="40">
        <f>MAX(C6:F6)</f>
        <v/>
      </c>
      <c r="H6" s="40">
        <f>G6*4/2</f>
        <v/>
      </c>
      <c r="I6" s="27" t="inlineStr">
        <is>
          <t>Steady, under 100%</t>
        </is>
      </c>
      <c r="J6" s="31" t="inlineStr">
        <is>
          <t>Same 36-47% peak every week; 73-94% on 2 vCPU, still under 100%. Watch CPU for 2 weeks after the change</t>
        </is>
      </c>
      <c r="K6" s="35" t="inlineStr">
        <is>
          <t>Approve</t>
        </is>
      </c>
      <c r="L6" s="27" t="inlineStr">
        <is>
          <t>m7i-flex.large</t>
        </is>
      </c>
      <c r="M6" s="41" t="n">
        <v>106</v>
      </c>
    </row>
    <row r="7" ht="15" customHeight="1" s="23">
      <c r="A7" s="27" t="inlineStr">
        <is>
          <t>usmg-dst-elements-task-controller</t>
        </is>
      </c>
      <c r="B7" s="27" t="inlineStr">
        <is>
          <t>Dev</t>
        </is>
      </c>
      <c r="C7" s="40" t="n">
        <v>65.59999999999999</v>
      </c>
      <c r="D7" s="40" t="n">
        <v>36.8</v>
      </c>
      <c r="E7" s="40" t="n">
        <v>30.4</v>
      </c>
      <c r="F7" s="40" t="n">
        <v>63.4</v>
      </c>
      <c r="G7" s="40">
        <f>MAX(C7:F7)</f>
        <v/>
      </c>
      <c r="H7" s="40">
        <f>G7*4/2</f>
        <v/>
      </c>
      <c r="I7" s="27" t="inlineStr">
        <is>
          <t>Recurring</t>
        </is>
      </c>
      <c r="J7" s="31" t="inlineStr">
        <is>
          <t>63-66% peaks in 2 of 4 weeks; about 130% on 2 vCPU</t>
        </is>
      </c>
      <c r="K7" s="36" t="inlineStr">
        <is>
          <t>Team decision</t>
        </is>
      </c>
      <c r="L7" s="27" t="inlineStr">
        <is>
          <t>r6i.large</t>
        </is>
      </c>
      <c r="M7" s="41" t="n">
        <v>81</v>
      </c>
    </row>
    <row r="8" ht="26.25" customHeight="1" s="23">
      <c r="A8" s="27" t="inlineStr">
        <is>
          <t>usmg-int-elements-batch-controller</t>
        </is>
      </c>
      <c r="B8" s="27" t="inlineStr">
        <is>
          <t>Test</t>
        </is>
      </c>
      <c r="C8" s="40" t="n">
        <v>76.8</v>
      </c>
      <c r="D8" s="40" t="n">
        <v>58.7</v>
      </c>
      <c r="E8" s="40" t="n">
        <v>51.8</v>
      </c>
      <c r="F8" s="40" t="n">
        <v>46.1</v>
      </c>
      <c r="G8" s="40">
        <f>MAX(C8:F8)</f>
        <v/>
      </c>
      <c r="H8" s="40">
        <f>G8*4/2</f>
        <v/>
      </c>
      <c r="I8" s="27" t="inlineStr">
        <is>
          <t>Recurring</t>
        </is>
      </c>
      <c r="J8" s="31" t="inlineStr">
        <is>
          <t>Busy every week: peaks 46-77% (92-154% on 2 vCPU), p95 20-22%</t>
        </is>
      </c>
      <c r="K8" s="36" t="inlineStr">
        <is>
          <t>Team decision</t>
        </is>
      </c>
      <c r="L8" s="27" t="inlineStr">
        <is>
          <t>r6i.large</t>
        </is>
      </c>
      <c r="M8" s="41" t="n">
        <v>57</v>
      </c>
    </row>
    <row r="9" ht="15" customHeight="1" s="23">
      <c r="A9" s="27" t="inlineStr">
        <is>
          <t>usmg-pvs-facets-task-controller</t>
        </is>
      </c>
      <c r="B9" s="27" t="inlineStr">
        <is>
          <t>Test</t>
        </is>
      </c>
      <c r="C9" s="40" t="n">
        <v>52.4</v>
      </c>
      <c r="D9" s="40" t="n">
        <v>38.8</v>
      </c>
      <c r="E9" s="40" t="n">
        <v>73.3</v>
      </c>
      <c r="F9" s="40" t="n">
        <v>34.6</v>
      </c>
      <c r="G9" s="40">
        <f>MAX(C9:F9)</f>
        <v/>
      </c>
      <c r="H9" s="40">
        <f>G9*4/2</f>
        <v/>
      </c>
      <c r="I9" s="27" t="inlineStr">
        <is>
          <t>Recurring</t>
        </is>
      </c>
      <c r="J9" s="31" t="inlineStr">
        <is>
          <t>Peaks 35-73% every week (70-147% on 2 vCPU)</t>
        </is>
      </c>
      <c r="K9" s="36" t="inlineStr">
        <is>
          <t>Team decision</t>
        </is>
      </c>
      <c r="L9" s="27" t="inlineStr">
        <is>
          <t>r6i.large</t>
        </is>
      </c>
      <c r="M9" s="41" t="n">
        <v>48</v>
      </c>
    </row>
    <row r="10" ht="26.25" customHeight="1" s="23">
      <c r="A10" s="27" t="inlineStr">
        <is>
          <t>usmg-prd-elements-batch-controller</t>
        </is>
      </c>
      <c r="B10" s="27" t="inlineStr">
        <is>
          <t>Prod</t>
        </is>
      </c>
      <c r="C10" s="40" t="n">
        <v>25.3</v>
      </c>
      <c r="D10" s="40" t="n">
        <v>27.9</v>
      </c>
      <c r="E10" s="40" t="n">
        <v>67.09999999999999</v>
      </c>
      <c r="F10" s="40" t="n">
        <v>24.8</v>
      </c>
      <c r="G10" s="40">
        <f>MAX(C10:F10)</f>
        <v/>
      </c>
      <c r="H10" s="40">
        <f>G10*4/2</f>
        <v/>
      </c>
      <c r="I10" s="27" t="inlineStr">
        <is>
          <t>One-off, prod</t>
        </is>
      </c>
      <c r="J10" s="31" t="inlineStr">
        <is>
          <t>CPU (67%) and network (2,142 Mbps) peaks both in the week of Oct 5; other weeks 25-28%. Prod: confirm what ran then</t>
        </is>
      </c>
      <c r="K10" s="36" t="inlineStr">
        <is>
          <t>Team decision</t>
        </is>
      </c>
      <c r="L10" s="27" t="inlineStr">
        <is>
          <t>r6i.large</t>
        </is>
      </c>
      <c r="M10" s="41" t="n">
        <v>94</v>
      </c>
    </row>
    <row r="11" ht="26.25" customHeight="1" s="23">
      <c r="A11" s="27" t="inlineStr">
        <is>
          <t>usmg-rel-facets-task-controller</t>
        </is>
      </c>
      <c r="B11" s="27" t="inlineStr">
        <is>
          <t>Prod</t>
        </is>
      </c>
      <c r="C11" s="40" t="n">
        <v>38.6</v>
      </c>
      <c r="D11" s="40" t="n">
        <v>61.4</v>
      </c>
      <c r="E11" s="40" t="n">
        <v>31.9</v>
      </c>
      <c r="F11" s="40" t="n">
        <v>45.2</v>
      </c>
      <c r="G11" s="40">
        <f>MAX(C11:F11)</f>
        <v/>
      </c>
      <c r="H11" s="40">
        <f>G11*4/2</f>
        <v/>
      </c>
      <c r="I11" s="27" t="inlineStr">
        <is>
          <t>Mixed, prod</t>
        </is>
      </c>
      <c r="J11" s="31" t="inlineStr">
        <is>
          <t>Network (769 Mbps) one week only; CPU 45% and 61% in 2 of 4 weeks (90% and 123% on 2 vCPU)</t>
        </is>
      </c>
      <c r="K11" s="36" t="inlineStr">
        <is>
          <t>Team decision</t>
        </is>
      </c>
      <c r="L11" s="27" t="inlineStr">
        <is>
          <t>r6i.large</t>
        </is>
      </c>
      <c r="M11" s="41" t="n">
        <v>81</v>
      </c>
    </row>
    <row r="13" ht="15" customHeight="1" s="23">
      <c r="A13" s="25" t="inlineStr">
        <is>
          <t>Rule: a big peak in only one week is a one-off and safe to downsize. A peak that returns every week or two and goes above 100% on the smaller size (90% in prod) needs the app owner to confirm the job can run slower.</t>
        </is>
      </c>
    </row>
    <row r="14" ht="15" customHeight="1" s="23">
      <c r="A14" s="25" t="inlineStr">
        <is>
          <t>Question for the app owner on team-decision rows: is it OK if this job runs slower for a few minutes? Yes = downsize, No = keep r6i.xlarge.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2026-10-19T18:16:15Z</dcterms:created>
  <dcterms:modified xmlns:dcterms="http://purl.org/dc/terms/" xmlns:xsi="http://www.w3.org/2001/XMLSchema-instance" xsi:type="dcterms:W3CDTF">2026-10-19T18:26:28Z</dcterms:modified>
  <cp:revision>0</cp:revision>
</cp:coreProperties>
</file>